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D:\Atélier_Formation_Dossier international\ODD_Agenda 63_Evaluation_UA_2020\"/>
    </mc:Choice>
  </mc:AlternateContent>
  <xr:revisionPtr revIDLastSave="0" documentId="13_ncr:1_{14B11F7F-2517-48BD-993C-A7BABD7962A6}" xr6:coauthVersionLast="47" xr6:coauthVersionMax="47" xr10:uidLastSave="{00000000-0000-0000-0000-000000000000}"/>
  <bookViews>
    <workbookView xWindow="-110" yWindow="-110" windowWidth="25820" windowHeight="15500" activeTab="7" xr2:uid="{00000000-000D-0000-FFFF-FFFF00000000}"/>
  </bookViews>
  <sheets>
    <sheet name="Agenda 2063" sheetId="2" r:id="rId1"/>
    <sheet name="Aspiration 1" sheetId="3" r:id="rId2"/>
    <sheet name="Aspiration 2" sheetId="6" r:id="rId3"/>
    <sheet name="Aspiration 3" sheetId="7" r:id="rId4"/>
    <sheet name="Aspiration 4" sheetId="9" r:id="rId5"/>
    <sheet name="Aspiration 5" sheetId="8" r:id="rId6"/>
    <sheet name="Aspiration 6" sheetId="5" r:id="rId7"/>
    <sheet name="Aspiration 7" sheetId="10" r:id="rId8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52" i="3" l="1"/>
  <c r="O12" i="10" l="1"/>
  <c r="N12" i="10"/>
  <c r="O11" i="10"/>
  <c r="N11" i="10"/>
  <c r="O10" i="10"/>
  <c r="N10" i="10"/>
  <c r="O9" i="10"/>
  <c r="N9" i="10"/>
  <c r="O8" i="10"/>
  <c r="N8" i="10"/>
  <c r="O6" i="10"/>
  <c r="N6" i="10"/>
  <c r="O5" i="10"/>
  <c r="N5" i="10"/>
  <c r="O4" i="10"/>
  <c r="O3" i="10" s="1"/>
  <c r="N4" i="10"/>
  <c r="O31" i="5"/>
  <c r="N31" i="5"/>
  <c r="O30" i="5"/>
  <c r="N30" i="5"/>
  <c r="O29" i="5"/>
  <c r="N29" i="5"/>
  <c r="O28" i="5"/>
  <c r="N28" i="5"/>
  <c r="O27" i="5"/>
  <c r="N27" i="5"/>
  <c r="O26" i="5"/>
  <c r="N26" i="5"/>
  <c r="O25" i="5"/>
  <c r="N25" i="5"/>
  <c r="O24" i="5"/>
  <c r="N24" i="5"/>
  <c r="O23" i="5"/>
  <c r="N23" i="5"/>
  <c r="O22" i="5"/>
  <c r="N22" i="5"/>
  <c r="O21" i="5"/>
  <c r="N21" i="5"/>
  <c r="O20" i="5"/>
  <c r="N20" i="5"/>
  <c r="O19" i="5"/>
  <c r="N19" i="5"/>
  <c r="O18" i="5"/>
  <c r="N18" i="5"/>
  <c r="O17" i="5"/>
  <c r="N17" i="5"/>
  <c r="O16" i="5"/>
  <c r="N16" i="5"/>
  <c r="O15" i="5"/>
  <c r="N15" i="5"/>
  <c r="O14" i="5"/>
  <c r="N14" i="5"/>
  <c r="O13" i="5"/>
  <c r="N13" i="5"/>
  <c r="O12" i="5"/>
  <c r="N12" i="5"/>
  <c r="O11" i="5"/>
  <c r="N11" i="5"/>
  <c r="O10" i="5"/>
  <c r="N10" i="5"/>
  <c r="O9" i="5"/>
  <c r="N9" i="5"/>
  <c r="O8" i="5"/>
  <c r="N8" i="5"/>
  <c r="O7" i="5"/>
  <c r="N7" i="5"/>
  <c r="O6" i="5"/>
  <c r="N6" i="5"/>
  <c r="O5" i="5"/>
  <c r="N5" i="5"/>
  <c r="O4" i="5"/>
  <c r="N4" i="5"/>
  <c r="O5" i="8"/>
  <c r="N5" i="8"/>
  <c r="O4" i="8"/>
  <c r="O3" i="8" s="1"/>
  <c r="N4" i="8"/>
  <c r="N3" i="8" s="1"/>
  <c r="O15" i="9"/>
  <c r="N15" i="9"/>
  <c r="O14" i="9"/>
  <c r="N14" i="9"/>
  <c r="O13" i="9"/>
  <c r="N13" i="9"/>
  <c r="O12" i="9"/>
  <c r="N12" i="9"/>
  <c r="O11" i="9"/>
  <c r="N11" i="9"/>
  <c r="O10" i="9"/>
  <c r="N10" i="9"/>
  <c r="O9" i="9"/>
  <c r="N9" i="9"/>
  <c r="O8" i="9"/>
  <c r="N8" i="9"/>
  <c r="O7" i="9"/>
  <c r="N7" i="9"/>
  <c r="O6" i="9"/>
  <c r="N6" i="9"/>
  <c r="O5" i="9"/>
  <c r="O3" i="9" s="1"/>
  <c r="N5" i="9"/>
  <c r="O4" i="9"/>
  <c r="N4" i="9"/>
  <c r="O44" i="7"/>
  <c r="N44" i="7"/>
  <c r="O43" i="7"/>
  <c r="N43" i="7"/>
  <c r="O42" i="7"/>
  <c r="N42" i="7"/>
  <c r="O41" i="7"/>
  <c r="N41" i="7"/>
  <c r="O40" i="7"/>
  <c r="N40" i="7"/>
  <c r="O39" i="7"/>
  <c r="N39" i="7"/>
  <c r="O38" i="7"/>
  <c r="N38" i="7"/>
  <c r="O37" i="7"/>
  <c r="N37" i="7"/>
  <c r="O36" i="7"/>
  <c r="N36" i="7"/>
  <c r="O35" i="7"/>
  <c r="N35" i="7"/>
  <c r="O34" i="7"/>
  <c r="N34" i="7"/>
  <c r="O33" i="7"/>
  <c r="N33" i="7"/>
  <c r="O32" i="7"/>
  <c r="N32" i="7"/>
  <c r="O31" i="7"/>
  <c r="N31" i="7"/>
  <c r="O30" i="7"/>
  <c r="N30" i="7"/>
  <c r="O29" i="7"/>
  <c r="N29" i="7"/>
  <c r="O28" i="7"/>
  <c r="N28" i="7"/>
  <c r="O27" i="7"/>
  <c r="N27" i="7"/>
  <c r="O26" i="7"/>
  <c r="N26" i="7"/>
  <c r="O25" i="7"/>
  <c r="N25" i="7"/>
  <c r="O24" i="7"/>
  <c r="N24" i="7"/>
  <c r="O23" i="7"/>
  <c r="N23" i="7"/>
  <c r="O22" i="7"/>
  <c r="N22" i="7"/>
  <c r="O21" i="7"/>
  <c r="N21" i="7"/>
  <c r="O20" i="7"/>
  <c r="N20" i="7"/>
  <c r="O19" i="7"/>
  <c r="N19" i="7"/>
  <c r="O18" i="7"/>
  <c r="N18" i="7"/>
  <c r="O17" i="7"/>
  <c r="N17" i="7"/>
  <c r="O16" i="7"/>
  <c r="N16" i="7"/>
  <c r="O15" i="7"/>
  <c r="N15" i="7"/>
  <c r="O14" i="7"/>
  <c r="N14" i="7"/>
  <c r="O13" i="7"/>
  <c r="N13" i="7"/>
  <c r="O12" i="7"/>
  <c r="N12" i="7"/>
  <c r="O11" i="7"/>
  <c r="N11" i="7"/>
  <c r="O10" i="7"/>
  <c r="N10" i="7"/>
  <c r="O9" i="7"/>
  <c r="N9" i="7"/>
  <c r="O8" i="7"/>
  <c r="N8" i="7"/>
  <c r="O7" i="7"/>
  <c r="N7" i="7"/>
  <c r="O6" i="7"/>
  <c r="N6" i="7"/>
  <c r="O5" i="7"/>
  <c r="N5" i="7"/>
  <c r="O4" i="7"/>
  <c r="N4" i="7"/>
  <c r="O21" i="6"/>
  <c r="N21" i="6"/>
  <c r="O20" i="6"/>
  <c r="N20" i="6"/>
  <c r="O19" i="6"/>
  <c r="N19" i="6"/>
  <c r="O18" i="6"/>
  <c r="N18" i="6"/>
  <c r="O17" i="6"/>
  <c r="N17" i="6"/>
  <c r="O16" i="6"/>
  <c r="N16" i="6"/>
  <c r="O15" i="6"/>
  <c r="N15" i="6"/>
  <c r="O14" i="6"/>
  <c r="N14" i="6"/>
  <c r="O13" i="6"/>
  <c r="N13" i="6"/>
  <c r="O12" i="6"/>
  <c r="N12" i="6"/>
  <c r="O11" i="6"/>
  <c r="N11" i="6"/>
  <c r="O10" i="6"/>
  <c r="N10" i="6"/>
  <c r="O9" i="6"/>
  <c r="N9" i="6"/>
  <c r="O8" i="6"/>
  <c r="N8" i="6"/>
  <c r="O7" i="6"/>
  <c r="N7" i="6"/>
  <c r="O6" i="6"/>
  <c r="N6" i="6"/>
  <c r="O5" i="6"/>
  <c r="N5" i="6"/>
  <c r="O4" i="6"/>
  <c r="N4" i="6"/>
  <c r="O237" i="3"/>
  <c r="N237" i="3"/>
  <c r="O236" i="3"/>
  <c r="N236" i="3"/>
  <c r="O235" i="3"/>
  <c r="N235" i="3"/>
  <c r="O234" i="3"/>
  <c r="N234" i="3"/>
  <c r="O233" i="3"/>
  <c r="N233" i="3"/>
  <c r="O232" i="3"/>
  <c r="N232" i="3"/>
  <c r="O231" i="3"/>
  <c r="N231" i="3"/>
  <c r="O230" i="3"/>
  <c r="N230" i="3"/>
  <c r="O229" i="3"/>
  <c r="N229" i="3"/>
  <c r="O228" i="3"/>
  <c r="N228" i="3"/>
  <c r="O227" i="3"/>
  <c r="N227" i="3"/>
  <c r="O226" i="3"/>
  <c r="N226" i="3"/>
  <c r="O225" i="3"/>
  <c r="N225" i="3"/>
  <c r="O224" i="3"/>
  <c r="N224" i="3"/>
  <c r="O223" i="3"/>
  <c r="N223" i="3"/>
  <c r="O222" i="3"/>
  <c r="N222" i="3"/>
  <c r="O221" i="3"/>
  <c r="N221" i="3"/>
  <c r="O220" i="3"/>
  <c r="N220" i="3"/>
  <c r="O219" i="3"/>
  <c r="N219" i="3"/>
  <c r="O218" i="3"/>
  <c r="N218" i="3"/>
  <c r="O217" i="3"/>
  <c r="N217" i="3"/>
  <c r="O216" i="3"/>
  <c r="N216" i="3"/>
  <c r="O215" i="3"/>
  <c r="N215" i="3"/>
  <c r="O214" i="3"/>
  <c r="N214" i="3"/>
  <c r="O213" i="3"/>
  <c r="N213" i="3"/>
  <c r="O212" i="3"/>
  <c r="N212" i="3"/>
  <c r="O211" i="3"/>
  <c r="N211" i="3"/>
  <c r="O210" i="3"/>
  <c r="N210" i="3"/>
  <c r="O209" i="3"/>
  <c r="N209" i="3"/>
  <c r="O208" i="3"/>
  <c r="N208" i="3"/>
  <c r="O207" i="3"/>
  <c r="N207" i="3"/>
  <c r="O206" i="3"/>
  <c r="N206" i="3"/>
  <c r="O205" i="3"/>
  <c r="N205" i="3"/>
  <c r="O204" i="3"/>
  <c r="N204" i="3"/>
  <c r="O203" i="3"/>
  <c r="N203" i="3"/>
  <c r="O202" i="3"/>
  <c r="N202" i="3"/>
  <c r="O201" i="3"/>
  <c r="N201" i="3"/>
  <c r="O200" i="3"/>
  <c r="N200" i="3"/>
  <c r="O199" i="3"/>
  <c r="N199" i="3"/>
  <c r="O198" i="3"/>
  <c r="N198" i="3"/>
  <c r="O197" i="3"/>
  <c r="N197" i="3"/>
  <c r="O196" i="3"/>
  <c r="N196" i="3"/>
  <c r="O195" i="3"/>
  <c r="N195" i="3"/>
  <c r="O194" i="3"/>
  <c r="N194" i="3"/>
  <c r="O193" i="3"/>
  <c r="N193" i="3"/>
  <c r="O192" i="3"/>
  <c r="N192" i="3"/>
  <c r="O191" i="3"/>
  <c r="N191" i="3"/>
  <c r="O190" i="3"/>
  <c r="N190" i="3"/>
  <c r="O189" i="3"/>
  <c r="N189" i="3"/>
  <c r="O188" i="3"/>
  <c r="N188" i="3"/>
  <c r="O187" i="3"/>
  <c r="N187" i="3"/>
  <c r="O186" i="3"/>
  <c r="N186" i="3"/>
  <c r="O185" i="3"/>
  <c r="N185" i="3"/>
  <c r="O184" i="3"/>
  <c r="N184" i="3"/>
  <c r="O183" i="3"/>
  <c r="N183" i="3"/>
  <c r="O182" i="3"/>
  <c r="N182" i="3"/>
  <c r="O181" i="3"/>
  <c r="N181" i="3"/>
  <c r="O180" i="3"/>
  <c r="N180" i="3"/>
  <c r="O179" i="3"/>
  <c r="N179" i="3"/>
  <c r="O178" i="3"/>
  <c r="N178" i="3"/>
  <c r="O177" i="3"/>
  <c r="N177" i="3"/>
  <c r="O176" i="3"/>
  <c r="N176" i="3"/>
  <c r="O175" i="3"/>
  <c r="N175" i="3"/>
  <c r="O174" i="3"/>
  <c r="N174" i="3"/>
  <c r="O173" i="3"/>
  <c r="N173" i="3"/>
  <c r="O172" i="3"/>
  <c r="N172" i="3"/>
  <c r="O171" i="3"/>
  <c r="N171" i="3"/>
  <c r="O170" i="3"/>
  <c r="N170" i="3"/>
  <c r="O169" i="3"/>
  <c r="N169" i="3"/>
  <c r="O168" i="3"/>
  <c r="N168" i="3"/>
  <c r="O167" i="3"/>
  <c r="N167" i="3"/>
  <c r="O166" i="3"/>
  <c r="N166" i="3"/>
  <c r="O165" i="3"/>
  <c r="N165" i="3"/>
  <c r="O164" i="3"/>
  <c r="N164" i="3"/>
  <c r="O163" i="3"/>
  <c r="N163" i="3"/>
  <c r="O162" i="3"/>
  <c r="N162" i="3"/>
  <c r="O161" i="3"/>
  <c r="N161" i="3"/>
  <c r="O160" i="3"/>
  <c r="N160" i="3"/>
  <c r="O159" i="3"/>
  <c r="N159" i="3"/>
  <c r="O158" i="3"/>
  <c r="N158" i="3"/>
  <c r="O157" i="3"/>
  <c r="N157" i="3"/>
  <c r="O156" i="3"/>
  <c r="N156" i="3"/>
  <c r="O155" i="3"/>
  <c r="N155" i="3"/>
  <c r="O154" i="3"/>
  <c r="N154" i="3"/>
  <c r="O153" i="3"/>
  <c r="N153" i="3"/>
  <c r="O152" i="3"/>
  <c r="N152" i="3"/>
  <c r="O151" i="3"/>
  <c r="N151" i="3"/>
  <c r="O150" i="3"/>
  <c r="N150" i="3"/>
  <c r="O149" i="3"/>
  <c r="N149" i="3"/>
  <c r="O148" i="3"/>
  <c r="N148" i="3"/>
  <c r="O147" i="3"/>
  <c r="N147" i="3"/>
  <c r="O146" i="3"/>
  <c r="N146" i="3"/>
  <c r="O145" i="3"/>
  <c r="N145" i="3"/>
  <c r="O144" i="3"/>
  <c r="N144" i="3"/>
  <c r="O143" i="3"/>
  <c r="N143" i="3"/>
  <c r="O142" i="3"/>
  <c r="N142" i="3"/>
  <c r="O141" i="3"/>
  <c r="N141" i="3"/>
  <c r="O140" i="3"/>
  <c r="N140" i="3"/>
  <c r="O139" i="3"/>
  <c r="N139" i="3"/>
  <c r="O138" i="3"/>
  <c r="N138" i="3"/>
  <c r="O137" i="3"/>
  <c r="N137" i="3"/>
  <c r="O136" i="3"/>
  <c r="N136" i="3"/>
  <c r="O135" i="3"/>
  <c r="N135" i="3"/>
  <c r="O134" i="3"/>
  <c r="N134" i="3"/>
  <c r="O133" i="3"/>
  <c r="N133" i="3"/>
  <c r="O132" i="3"/>
  <c r="N132" i="3"/>
  <c r="O131" i="3"/>
  <c r="N131" i="3"/>
  <c r="O130" i="3"/>
  <c r="N130" i="3"/>
  <c r="O129" i="3"/>
  <c r="N129" i="3"/>
  <c r="O128" i="3"/>
  <c r="N128" i="3"/>
  <c r="O127" i="3"/>
  <c r="N127" i="3"/>
  <c r="O126" i="3"/>
  <c r="N126" i="3"/>
  <c r="O125" i="3"/>
  <c r="N125" i="3"/>
  <c r="O124" i="3"/>
  <c r="N124" i="3"/>
  <c r="O123" i="3"/>
  <c r="N123" i="3"/>
  <c r="O122" i="3"/>
  <c r="N122" i="3"/>
  <c r="O121" i="3"/>
  <c r="N121" i="3"/>
  <c r="O120" i="3"/>
  <c r="N120" i="3"/>
  <c r="O119" i="3"/>
  <c r="N119" i="3"/>
  <c r="O118" i="3"/>
  <c r="N118" i="3"/>
  <c r="O117" i="3"/>
  <c r="N117" i="3"/>
  <c r="O116" i="3"/>
  <c r="N116" i="3"/>
  <c r="O115" i="3"/>
  <c r="N115" i="3"/>
  <c r="O114" i="3"/>
  <c r="N114" i="3"/>
  <c r="O113" i="3"/>
  <c r="N113" i="3"/>
  <c r="O112" i="3"/>
  <c r="N112" i="3"/>
  <c r="O111" i="3"/>
  <c r="N111" i="3"/>
  <c r="O110" i="3"/>
  <c r="N110" i="3"/>
  <c r="O109" i="3"/>
  <c r="N109" i="3"/>
  <c r="O108" i="3"/>
  <c r="N108" i="3"/>
  <c r="O107" i="3"/>
  <c r="N107" i="3"/>
  <c r="O106" i="3"/>
  <c r="N106" i="3"/>
  <c r="O105" i="3"/>
  <c r="N105" i="3"/>
  <c r="O104" i="3"/>
  <c r="N104" i="3"/>
  <c r="O103" i="3"/>
  <c r="N103" i="3"/>
  <c r="O102" i="3"/>
  <c r="N102" i="3"/>
  <c r="O101" i="3"/>
  <c r="N101" i="3"/>
  <c r="O100" i="3"/>
  <c r="N100" i="3"/>
  <c r="O99" i="3"/>
  <c r="N99" i="3"/>
  <c r="O98" i="3"/>
  <c r="N98" i="3"/>
  <c r="O97" i="3"/>
  <c r="N97" i="3"/>
  <c r="O96" i="3"/>
  <c r="N96" i="3"/>
  <c r="O95" i="3"/>
  <c r="N95" i="3"/>
  <c r="O94" i="3"/>
  <c r="N94" i="3"/>
  <c r="O93" i="3"/>
  <c r="N93" i="3"/>
  <c r="O92" i="3"/>
  <c r="N92" i="3"/>
  <c r="O91" i="3"/>
  <c r="N91" i="3"/>
  <c r="O90" i="3"/>
  <c r="N90" i="3"/>
  <c r="O89" i="3"/>
  <c r="N89" i="3"/>
  <c r="O88" i="3"/>
  <c r="N88" i="3"/>
  <c r="O87" i="3"/>
  <c r="N87" i="3"/>
  <c r="O86" i="3"/>
  <c r="N86" i="3"/>
  <c r="O85" i="3"/>
  <c r="N85" i="3"/>
  <c r="O84" i="3"/>
  <c r="N84" i="3"/>
  <c r="O83" i="3"/>
  <c r="N83" i="3"/>
  <c r="O82" i="3"/>
  <c r="N82" i="3"/>
  <c r="O81" i="3"/>
  <c r="N81" i="3"/>
  <c r="O80" i="3"/>
  <c r="N80" i="3"/>
  <c r="O79" i="3"/>
  <c r="N79" i="3"/>
  <c r="O78" i="3"/>
  <c r="N78" i="3"/>
  <c r="O77" i="3"/>
  <c r="N77" i="3"/>
  <c r="O76" i="3"/>
  <c r="N76" i="3"/>
  <c r="O75" i="3"/>
  <c r="N75" i="3"/>
  <c r="O74" i="3"/>
  <c r="N74" i="3"/>
  <c r="O73" i="3"/>
  <c r="N73" i="3"/>
  <c r="O72" i="3"/>
  <c r="N72" i="3"/>
  <c r="O71" i="3"/>
  <c r="N71" i="3"/>
  <c r="O70" i="3"/>
  <c r="N70" i="3"/>
  <c r="O69" i="3"/>
  <c r="N69" i="3"/>
  <c r="O68" i="3"/>
  <c r="N68" i="3"/>
  <c r="O67" i="3"/>
  <c r="N67" i="3"/>
  <c r="O66" i="3"/>
  <c r="N66" i="3"/>
  <c r="O65" i="3"/>
  <c r="N65" i="3"/>
  <c r="O64" i="3"/>
  <c r="N64" i="3"/>
  <c r="O63" i="3"/>
  <c r="N63" i="3"/>
  <c r="O62" i="3"/>
  <c r="N62" i="3"/>
  <c r="O61" i="3"/>
  <c r="N61" i="3"/>
  <c r="O60" i="3"/>
  <c r="N60" i="3"/>
  <c r="O59" i="3"/>
  <c r="N59" i="3"/>
  <c r="O58" i="3"/>
  <c r="N58" i="3"/>
  <c r="O57" i="3"/>
  <c r="N57" i="3"/>
  <c r="O56" i="3"/>
  <c r="N56" i="3"/>
  <c r="O55" i="3"/>
  <c r="N55" i="3"/>
  <c r="O54" i="3"/>
  <c r="N54" i="3"/>
  <c r="O53" i="3"/>
  <c r="N53" i="3"/>
  <c r="O52" i="3"/>
  <c r="N52" i="3"/>
  <c r="O51" i="3"/>
  <c r="N51" i="3"/>
  <c r="O50" i="3"/>
  <c r="N50" i="3"/>
  <c r="O49" i="3"/>
  <c r="N49" i="3"/>
  <c r="O48" i="3"/>
  <c r="N48" i="3"/>
  <c r="O47" i="3"/>
  <c r="N47" i="3"/>
  <c r="O46" i="3"/>
  <c r="N46" i="3"/>
  <c r="O45" i="3"/>
  <c r="N45" i="3"/>
  <c r="O44" i="3"/>
  <c r="N44" i="3"/>
  <c r="O43" i="3"/>
  <c r="N43" i="3"/>
  <c r="O42" i="3"/>
  <c r="N42" i="3"/>
  <c r="O41" i="3"/>
  <c r="N41" i="3"/>
  <c r="O40" i="3"/>
  <c r="N40" i="3"/>
  <c r="O39" i="3"/>
  <c r="N39" i="3"/>
  <c r="O38" i="3"/>
  <c r="N38" i="3"/>
  <c r="O37" i="3"/>
  <c r="N37" i="3"/>
  <c r="O36" i="3"/>
  <c r="N36" i="3"/>
  <c r="O35" i="3"/>
  <c r="N35" i="3"/>
  <c r="O34" i="3"/>
  <c r="N34" i="3"/>
  <c r="O33" i="3"/>
  <c r="N33" i="3"/>
  <c r="O32" i="3"/>
  <c r="N32" i="3"/>
  <c r="O31" i="3"/>
  <c r="N31" i="3"/>
  <c r="O30" i="3"/>
  <c r="N30" i="3"/>
  <c r="O29" i="3"/>
  <c r="N29" i="3"/>
  <c r="O28" i="3"/>
  <c r="N28" i="3"/>
  <c r="O27" i="3"/>
  <c r="N27" i="3"/>
  <c r="O26" i="3"/>
  <c r="N26" i="3"/>
  <c r="O25" i="3"/>
  <c r="N25" i="3"/>
  <c r="O24" i="3"/>
  <c r="N24" i="3"/>
  <c r="O23" i="3"/>
  <c r="N23" i="3"/>
  <c r="O22" i="3"/>
  <c r="N22" i="3"/>
  <c r="O21" i="3"/>
  <c r="N21" i="3"/>
  <c r="O20" i="3"/>
  <c r="N20" i="3"/>
  <c r="O19" i="3"/>
  <c r="N19" i="3"/>
  <c r="O18" i="3"/>
  <c r="N18" i="3"/>
  <c r="O17" i="3"/>
  <c r="N17" i="3"/>
  <c r="O16" i="3"/>
  <c r="N16" i="3"/>
  <c r="O15" i="3"/>
  <c r="N15" i="3"/>
  <c r="O14" i="3"/>
  <c r="N14" i="3"/>
  <c r="O13" i="3"/>
  <c r="N13" i="3"/>
  <c r="O12" i="3"/>
  <c r="N12" i="3"/>
  <c r="O11" i="3"/>
  <c r="N11" i="3"/>
  <c r="O10" i="3"/>
  <c r="N10" i="3"/>
  <c r="O9" i="3"/>
  <c r="N9" i="3"/>
  <c r="O8" i="3"/>
  <c r="N8" i="3"/>
  <c r="O7" i="3"/>
  <c r="N7" i="3"/>
  <c r="O6" i="3"/>
  <c r="N6" i="3"/>
  <c r="O5" i="3"/>
  <c r="N5" i="3"/>
  <c r="O4" i="3"/>
  <c r="N4" i="3"/>
  <c r="O3" i="6" l="1"/>
  <c r="O3" i="7"/>
  <c r="N3" i="9"/>
  <c r="O3" i="5"/>
  <c r="O3" i="3"/>
  <c r="N3" i="10"/>
  <c r="N3" i="5"/>
  <c r="N3" i="7"/>
  <c r="N3" i="6"/>
  <c r="N3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Maxime Bonkoungou</author>
  </authors>
  <commentList>
    <comment ref="F9" authorId="0" shapeId="0" xr:uid="{00000000-0006-0000-0100-000001000000}">
      <text>
        <r>
          <rPr>
            <b/>
            <sz val="9"/>
            <color rgb="FF000000"/>
            <rFont val="Tahoma"/>
            <family val="2"/>
          </rPr>
          <t>Maxime Bonkoungou: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Let have for this indicateur: total unmployed, total labor force, unemployed female, total female labor force, male labor force, total employed by different defined age group.</t>
        </r>
      </text>
    </comment>
    <comment ref="F10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Maxime Bonkoungou:</t>
        </r>
        <r>
          <rPr>
            <sz val="9"/>
            <color indexed="81"/>
            <rFont val="Tahoma"/>
            <family val="2"/>
          </rPr>
          <t xml:space="preserve">
Let have for this indicateur: total unmployed, total labor force, unemployed female, total female labor force, male labor force, total employed by different defined age group.</t>
        </r>
      </text>
    </comment>
  </commentList>
</comments>
</file>

<file path=xl/sharedStrings.xml><?xml version="1.0" encoding="utf-8"?>
<sst xmlns="http://schemas.openxmlformats.org/spreadsheetml/2006/main" count="611" uniqueCount="419">
  <si>
    <t>Aspiration</t>
  </si>
  <si>
    <t>Population, total</t>
  </si>
  <si>
    <t>B</t>
  </si>
  <si>
    <t>Total population</t>
  </si>
  <si>
    <t xml:space="preserve">Aspirations de l'Agenda 2063 </t>
  </si>
  <si>
    <t>Pays</t>
  </si>
  <si>
    <t>PIB Réel par habitant</t>
  </si>
  <si>
    <t>PIB Réel</t>
  </si>
  <si>
    <t>Total main-d'œuvre</t>
  </si>
  <si>
    <t>Main-d'œuvre, hommes</t>
  </si>
  <si>
    <t>Taux de chomage, total  (% of total main d'oeuvre)</t>
  </si>
  <si>
    <t>Taux de chomage, hommes (% of main-d'œuvre féminine)</t>
  </si>
  <si>
    <t>Main-d'œuvre, femmes</t>
  </si>
  <si>
    <t xml:space="preserve">Population au chômage, total </t>
  </si>
  <si>
    <t>Taux de chômage, hommes (% of main-d'œuvre masculine)</t>
  </si>
  <si>
    <t>Chômeurs, hommes</t>
  </si>
  <si>
    <t>Chômeurs, femmes</t>
  </si>
  <si>
    <t>Taux de chômage, des 16-24 ans</t>
  </si>
  <si>
    <t>Taux de chômage, des 25-34 ans</t>
  </si>
  <si>
    <t>Taux de chômage, des 35-44 ans</t>
  </si>
  <si>
    <t>Taux de chômage, des 45-54 ans</t>
  </si>
  <si>
    <t>Taux de chômage des 55 ans et plus</t>
  </si>
  <si>
    <t>Chômeurs, âgés de 25-34</t>
  </si>
  <si>
    <t>Main-d'œuvre âgée de 16-24</t>
  </si>
  <si>
    <t>Chômeurs, âgés de 16-24</t>
  </si>
  <si>
    <t>Main-d'œuvre âgée de 25-34</t>
  </si>
  <si>
    <t>Chômeurs, âgés de 35-44</t>
  </si>
  <si>
    <t>Main-d'œuvre âgée de 35-44</t>
  </si>
  <si>
    <t>Chômeurs, âgés de 45-54</t>
  </si>
  <si>
    <t>Main-d'œuvre âgée de 45-44</t>
  </si>
  <si>
    <t>Chomeurs, âgés de 55 ans et plus</t>
  </si>
  <si>
    <t>Main-d'œuvre âgée de 55 ans et plus</t>
  </si>
  <si>
    <t>Taux de chômage, urbain (% de la main-d'œuvre urbaine)</t>
  </si>
  <si>
    <t>Chômeurs, urbain</t>
  </si>
  <si>
    <t>Main-d'œuvre urbaine</t>
  </si>
  <si>
    <t>Chômeurs, rural</t>
  </si>
  <si>
    <t>Taux de chômage, rural (% de la main-d'œuvre rurale)</t>
  </si>
  <si>
    <t>Main-d'œuvre rurale</t>
  </si>
  <si>
    <t xml:space="preserve">Coefficient de Gini </t>
  </si>
  <si>
    <t xml:space="preserve">Pourcentage de la population vivant en-dessous du seuil de pauvreté national </t>
  </si>
  <si>
    <t>Population vivant en-dessous du seuil de pauvreté national</t>
  </si>
  <si>
    <t>Hommes vivant en-dessous du seuil de pauvreté national</t>
  </si>
  <si>
    <t>Population masculine</t>
  </si>
  <si>
    <t>% de la population vivant en-dessous du seuil de pauvreté national, hommes</t>
  </si>
  <si>
    <t>% de la population vivant en-dessous du seuil de pauvreté national, femmes</t>
  </si>
  <si>
    <t>Femmes vivant en-dessous du seuil de pauvreté national</t>
  </si>
  <si>
    <t>Population urbaine</t>
  </si>
  <si>
    <t>Population féminine</t>
  </si>
  <si>
    <t>Population urbaine vivant en-dessous du seuil de pauvreté national</t>
  </si>
  <si>
    <t>Population rurale vivant en-dessous du seuil de pauvreté national</t>
  </si>
  <si>
    <t>Population rurale</t>
  </si>
  <si>
    <t>% de la population vivant en-dessous du seuil de pauvreté national, Urbain</t>
  </si>
  <si>
    <t>% de la population vivant en-dessous du seuil de pauvreté national, rural</t>
  </si>
  <si>
    <t>Pourcentage de la population ayant accès à l'eau potable, Total</t>
  </si>
  <si>
    <t>% de la population ayant accès à l'eau potable, rural</t>
  </si>
  <si>
    <t>% de la population ayant accès à l'eau potable, urbain</t>
  </si>
  <si>
    <t>Pourcentage de la population ayant accès à l’électricité, total</t>
  </si>
  <si>
    <t>% de la population ayant accès à l’électricité, urbain</t>
  </si>
  <si>
    <t>% de la population ayant accès à l’électricité, rural</t>
  </si>
  <si>
    <t>Pourcentage de la population consommant l’électricité, total</t>
  </si>
  <si>
    <t>%  de la population consommant l’électricité, urbain</t>
  </si>
  <si>
    <t>%  de la population consommant l’électricité, rural</t>
  </si>
  <si>
    <t>% de la population utilisant Internet, total</t>
  </si>
  <si>
    <t>% de la population utilisant Internet, urbain</t>
  </si>
  <si>
    <t>% de la population utilisant Internet, rural</t>
  </si>
  <si>
    <t>% de la population utilisant Internett, femmes</t>
  </si>
  <si>
    <t>% de la population utilisant Internet, hommes</t>
  </si>
  <si>
    <t>% de la population urbaine vivant dans des bidonvilles, quartiers informels ou logements inadéquats, total</t>
  </si>
  <si>
    <t>Nombre de ménages urbains</t>
  </si>
  <si>
    <t xml:space="preserve"> Population urbaine vivant dans des bidonvilles, quartiers informels ou logements inadéquats, ayant un homme comme chef de ménage</t>
  </si>
  <si>
    <t>Nombre de ménages ayant un homme à leur tête</t>
  </si>
  <si>
    <t xml:space="preserve"> Population urbaine vivant dans des bidonvilles, quartiers informels ou logements inadéquats, ayant une femme comme chef de ménage</t>
  </si>
  <si>
    <t>Nombre de ménages ayant une femme à leur tête</t>
  </si>
  <si>
    <t xml:space="preserve">% d'enfants d'âge préscolaire fréquentant le préscolaire, total </t>
  </si>
  <si>
    <t xml:space="preserve">% d'enfants en âge préscolaire fréquentant le préscolaire, urbain </t>
  </si>
  <si>
    <t xml:space="preserve">% d'enfants d'âge préscolaire fréquentant le préscolaire, rural </t>
  </si>
  <si>
    <t xml:space="preserve">Nombre d'enfants en âge préscolaire, rural </t>
  </si>
  <si>
    <t xml:space="preserve">Nombre d'enfants en âge préscolaire, urbain </t>
  </si>
  <si>
    <t xml:space="preserve">% d'enfants en âge préscolaire fréquentant le préscolaire, garçons </t>
  </si>
  <si>
    <t xml:space="preserve">% d'enfants d'âge préscolaire fréquentant le préscolaire, filles </t>
  </si>
  <si>
    <t xml:space="preserve">Nombre d'enfants en âge préscolaire, garçons </t>
  </si>
  <si>
    <t>Nombre d'enfants en âge préscolaire, filles</t>
  </si>
  <si>
    <t>Taux net de scolarisation dans le primaire, total</t>
  </si>
  <si>
    <t xml:space="preserve">% d'enfants en âge de fréquenter l'école primaire fréquentant l'école primaire, urbaine </t>
  </si>
  <si>
    <t xml:space="preserve">% d'enfants en âge de fréquenter l'école primaire fréquentant l'école primaire, en milieu rural </t>
  </si>
  <si>
    <t xml:space="preserve">Nombre d'enfants en âge de fréquenter l'école primaire, en milieu rural </t>
  </si>
  <si>
    <t xml:space="preserve">Nombre d'enfants en âge de fréquenter l'école primaire, en milieu urbain </t>
  </si>
  <si>
    <t xml:space="preserve">% d'enfants en âge de fréquenter l'école primaire fréquentant l'école primaire, garçons </t>
  </si>
  <si>
    <t xml:space="preserve">% d'enfants en âge de fréquenter l'école primaire fréquentant l'école primaire, filles </t>
  </si>
  <si>
    <t xml:space="preserve">Nombre d'enfants en âge de fréquenter l'école primaire, garçons </t>
  </si>
  <si>
    <t>Nombre d'enfants en âge de fréquenter l'école primaire, filles</t>
  </si>
  <si>
    <t>Taux net de scolarisation dans le secondaire, total</t>
  </si>
  <si>
    <t xml:space="preserve">% d'enfants en âge de fréquenter l'école secondaire fréquentant l'école secondaire, en milieu urbain </t>
  </si>
  <si>
    <t xml:space="preserve">% d'enfants en âge de fréquenter l'école secondaire fréquentant l'école secondaire, en milieu rural </t>
  </si>
  <si>
    <t xml:space="preserve">Nombre d'enfants d'âge scolaire secondaire, rural </t>
  </si>
  <si>
    <t xml:space="preserve">Nombre d'enfants d'âge scolaire secondaire, urbain </t>
  </si>
  <si>
    <t xml:space="preserve">% d'enfants en âge de fréquenter l'école secondaire fréquentant l'école secondaire, garçons </t>
  </si>
  <si>
    <t xml:space="preserve">% d'enfants en âge de fréquenter l'école secondaire fréquentant l'école secondaire, filles </t>
  </si>
  <si>
    <t xml:space="preserve">Nombre d'enfants en âge de fréquenter l'école secondaire, hommes </t>
  </si>
  <si>
    <t>Nombre d'enfants en âge de fréquenter l'école secondaire, filles</t>
  </si>
  <si>
    <t xml:space="preserve">Pourcentage des femmes en âge de procréer, de 15-49, ayant accès aux services de santé sexuelle et  reproductive </t>
  </si>
  <si>
    <t xml:space="preserve">Femmes en âge de procréer de 15 à 49 ans ayant accès aux services de santé sexuelle et reproductive, total </t>
  </si>
  <si>
    <t xml:space="preserve">Population de femmes de 15 à 49 ans, total </t>
  </si>
  <si>
    <t xml:space="preserve">Ratio de mortalité maternelle </t>
  </si>
  <si>
    <t xml:space="preserve">Incidence du paludisme pour 1000 par an </t>
  </si>
  <si>
    <t>% de la population éligible séropositive ayant accès aux ARV    </t>
  </si>
  <si>
    <t>Prévalence de l'insuffisance pondérale chez les enfants de moins de 5 ans</t>
  </si>
  <si>
    <t xml:space="preserve">Taux de croissance du PIB réel </t>
  </si>
  <si>
    <t>PIB à prix constant</t>
  </si>
  <si>
    <t>PIB à prix courant</t>
  </si>
  <si>
    <t>Valeur ajoutée de l’industrie manufacturière en % du PIB    </t>
  </si>
  <si>
    <t xml:space="preserve">Valeur ajoutée de l’industrie manufacturière, </t>
  </si>
  <si>
    <t>Dépenses à prix courant de recherche et développement en % du PIB</t>
  </si>
  <si>
    <t xml:space="preserve">Dépenses de recherche et développement, prix courant </t>
  </si>
  <si>
    <t>Valeur ajoutée du tourisme en% du PIB    </t>
  </si>
  <si>
    <t>Valeur ajoutée du tourisme, prix actuel</t>
  </si>
  <si>
    <t>Taux de croissance des rendements pour les cinq produits prioritaires nationaux</t>
  </si>
  <si>
    <t>Prévalence de l'insécurité alimentaire modérée ou sévère dans la population sur la base de l'échelle d'expérience de l'insécurité alimentaire (FIES)</t>
  </si>
  <si>
    <t xml:space="preserve">Valeur ajoutée du secteur de la pêche en % du PIB </t>
  </si>
  <si>
    <t>Valeur ajoutée du secteur de la pêche, prix courant</t>
  </si>
  <si>
    <t>Valeur ajoutée de la biotechnologie marine en % du PIB    </t>
  </si>
  <si>
    <t>Valeur ajoutée de la biotechnologie marine, prix courant</t>
  </si>
  <si>
    <t>Terres agricoles placées sous la pratique de la gestion durable des terres en pourcentage.</t>
  </si>
  <si>
    <t>Terres agricoles placées sous la pratique de la gestion durable des terres</t>
  </si>
  <si>
    <t>Terres agricoles, total</t>
  </si>
  <si>
    <t>% de zones terrestres et d'eaux intérieures préservées</t>
  </si>
  <si>
    <t>Zones terrestres et eaux intérieures préservées</t>
  </si>
  <si>
    <t>Zones terrestres et eaux intérieuresreas</t>
  </si>
  <si>
    <t>% de zones côtières et marines préservées</t>
  </si>
  <si>
    <t xml:space="preserve"> Zones côtières et marines préservées</t>
  </si>
  <si>
    <t>Zones côtières et marines</t>
  </si>
  <si>
    <t>% de la population utilisant des téléphones portables     </t>
  </si>
  <si>
    <t>Population utilisant des téléphones portables      </t>
  </si>
  <si>
    <t xml:space="preserve">Population, total </t>
  </si>
  <si>
    <t>Valeur ajoutée des TIC, prix courant</t>
  </si>
  <si>
    <t>Contribution des TIC au PIB en %</t>
  </si>
  <si>
    <t>Décès liés au conflit par 100 000 habitants</t>
  </si>
  <si>
    <t>Nombre de conflits armés</t>
  </si>
  <si>
    <t>Existence d’un Conseil national de paix.</t>
  </si>
  <si>
    <t>Nombre de dialogues nationaux tenus</t>
  </si>
  <si>
    <t xml:space="preserve">Décès liés aux conflits pour 100 000 habitants, hommes </t>
  </si>
  <si>
    <t xml:space="preserve">Décès liés aux conflits pour 100 000 habitants, femmes </t>
  </si>
  <si>
    <t xml:space="preserve">Décès liés aux conflits pour 100 000 habitants, combats traditionnels sur le champ de bataille </t>
  </si>
  <si>
    <t xml:space="preserve">Décès liés aux conflits pour 100 000 habitants, bombardements </t>
  </si>
  <si>
    <t xml:space="preserve">Décès liés aux conflits pour 100 000 habitants, mines / REG </t>
  </si>
  <si>
    <t xml:space="preserve">Décès liés aux conflits pour 100 000 habitants, de 0 à 15 ans </t>
  </si>
  <si>
    <t xml:space="preserve">Décès liés aux conflits pour 100 000 habitants, 16 à 45 ans </t>
  </si>
  <si>
    <t>Décès liés aux conflits pour 100 000 habitants : plus de 46 ans</t>
  </si>
  <si>
    <t>Proportion du contenu des programmes d'enseignement sur la culture, les valeurs et les langues locales africaines dans les écoles primaires</t>
  </si>
  <si>
    <t>Proportion du contenu des programmes d'enseignement sur la culture, les valeurs et les langues locales africaines dans les écoles secondaires</t>
  </si>
  <si>
    <t>Proportion de la population agricole totale possédant des droits de propriété ou des droits fonciers garantis sur les terres agricoles, total</t>
  </si>
  <si>
    <t>Proportion de la population agricole totale possédant des droits de propriété ou des droits fonciers garantis sur les terres agricoles, hommes</t>
  </si>
  <si>
    <t>Proportion de la population agricole totale possédant des droits de propriété ou des droits fonciers garantis sur les terres agricoles, femmes</t>
  </si>
  <si>
    <t>Proportion de sièges occupés par des femmes dans les parlements nationaux, les organes régionaux et locaux</t>
  </si>
  <si>
    <t>Proportion de femmes et de filles soumises à la violence sexuelle et physique</t>
  </si>
  <si>
    <t>Proportion de filles et de femmes âgées de 15 à 49 ans ayant subi une mutilation génitale féminine / une excision selon l'âge, total</t>
  </si>
  <si>
    <t xml:space="preserve">Proportion d'enfants dont les naissances sont enregistrées dans la première année </t>
  </si>
  <si>
    <t>Population agricultural,  total</t>
  </si>
  <si>
    <t>Proportion de sièges occupés par des femmes dans les parlements nationaux, regional</t>
  </si>
  <si>
    <t>Proportion de sièges occupés par des femmes dans les parlements nationaux, local</t>
  </si>
  <si>
    <t>Proportion de femmes et de filles soumises à la violence sexuelle et physique par leur partener</t>
  </si>
  <si>
    <t>Proportion de femmes et de filles soumises à la violence sexuelle et physique par une pesonne autre que leur partener</t>
  </si>
  <si>
    <t>Proportion de filles et de femmes âgées de 25 à 34 ans ayant subi une mutilation génitale féminine / une excision</t>
  </si>
  <si>
    <t>Proportion de filles et de femmes âgées de 15 à 24 ans ayant subi une mutilation génitale féminine / une excision</t>
  </si>
  <si>
    <t>Proportion de filles et de femmes âgées de35 à 49 ans ayant subi une mutilation génitale féminine / une excision</t>
  </si>
  <si>
    <t>Enfants engagés dans le mariage des enfants en pourcentage</t>
  </si>
  <si>
    <t>Enfants victimes de la traite des êtres humains en pourcentage</t>
  </si>
  <si>
    <t>Enfants engagés dans le travail en pourcentage</t>
  </si>
  <si>
    <t xml:space="preserve">     Enfants engagés dans le travail</t>
  </si>
  <si>
    <t xml:space="preserve">     Nombre total d'enfants</t>
  </si>
  <si>
    <t>Enfants engagés dans le mariage des enfants</t>
  </si>
  <si>
    <t xml:space="preserve">     Enfants victimes de la traite des êtres humains </t>
  </si>
  <si>
    <t>Niveau de mise en œuvre des dispositions de la Charte africaine de la jeunesse par les États membres</t>
  </si>
  <si>
    <t>Disponibilité d'une législation statistique conforme aux principes fondamentaux des statistiques officielles</t>
  </si>
  <si>
    <t>Proportion du financement alloué à la mise en œuvre d’un système statistique fonctionnel</t>
  </si>
  <si>
    <t>Existence d'arrangements institutionnels formels pour la coordination de la compilation des statistiques officielles</t>
  </si>
  <si>
    <t>Proportion des dépenses de développement versées par les marchés financiers nationaux</t>
  </si>
  <si>
    <t>Total des recettes fiscales en pourcentage du PIB</t>
  </si>
  <si>
    <t>L’APD totale en pourcentage du budget national</t>
  </si>
  <si>
    <t>Total des recettes fiscales, prix courant</t>
  </si>
  <si>
    <t xml:space="preserve">  L’APD totale, prix courant</t>
  </si>
  <si>
    <t xml:space="preserve">     Budget national, prix courant</t>
  </si>
  <si>
    <t>Ressources mobilisées grâce à des mécanismes de financement innovants en pourcentage du budget national</t>
  </si>
  <si>
    <t>Objectif</t>
  </si>
  <si>
    <t>Retour à la page Agenda 2063</t>
  </si>
  <si>
    <r>
      <rPr>
        <b/>
        <sz val="14"/>
        <color theme="1"/>
        <rFont val="Calibri"/>
        <family val="2"/>
        <scheme val="minor"/>
      </rPr>
      <t>Aspiration 1</t>
    </r>
    <r>
      <rPr>
        <sz val="14"/>
        <color theme="1"/>
        <rFont val="Calibri"/>
        <family val="2"/>
        <scheme val="minor"/>
      </rPr>
      <t xml:space="preserve">
Une Afrique prospère fondée sur une croissance inclusive et un développement durable</t>
    </r>
  </si>
  <si>
    <r>
      <rPr>
        <b/>
        <sz val="14"/>
        <color theme="1"/>
        <rFont val="Calibri"/>
        <family val="2"/>
        <scheme val="minor"/>
      </rPr>
      <t>Objectif 1</t>
    </r>
    <r>
      <rPr>
        <sz val="14"/>
        <color theme="1"/>
        <rFont val="Calibri"/>
        <family val="2"/>
        <scheme val="minor"/>
      </rPr>
      <t xml:space="preserve">
Un niveau de vie élevé, une qualité de vie et le bien-être pour tous  </t>
    </r>
  </si>
  <si>
    <r>
      <rPr>
        <b/>
        <sz val="14"/>
        <color theme="1"/>
        <rFont val="Calibri"/>
        <family val="2"/>
        <scheme val="minor"/>
      </rPr>
      <t>Objectif 2</t>
    </r>
    <r>
      <rPr>
        <sz val="14"/>
        <color theme="1"/>
        <rFont val="Calibri"/>
        <family val="2"/>
        <scheme val="minor"/>
      </rPr>
      <t xml:space="preserve">
Des citoyens instruits et une révolution de compétences renforcée par la science, la technologie et l’innovation</t>
    </r>
  </si>
  <si>
    <r>
      <rPr>
        <b/>
        <sz val="14"/>
        <color theme="1"/>
        <rFont val="Calibri"/>
        <family val="2"/>
        <scheme val="minor"/>
      </rPr>
      <t>Objectif 3</t>
    </r>
    <r>
      <rPr>
        <sz val="14"/>
        <color theme="1"/>
        <rFont val="Calibri"/>
        <family val="2"/>
        <scheme val="minor"/>
      </rPr>
      <t xml:space="preserve">
Des citoyens en bonne santé et alimentés de manière appropriée </t>
    </r>
  </si>
  <si>
    <r>
      <rPr>
        <b/>
        <sz val="14"/>
        <color theme="1"/>
        <rFont val="Calibri"/>
        <family val="2"/>
        <scheme val="minor"/>
      </rPr>
      <t>Objectif  4</t>
    </r>
    <r>
      <rPr>
        <sz val="14"/>
        <color theme="1"/>
        <rFont val="Calibri"/>
        <family val="2"/>
        <scheme val="minor"/>
      </rPr>
      <t xml:space="preserve">
Économies transformées et création d’emplois</t>
    </r>
  </si>
  <si>
    <r>
      <rPr>
        <b/>
        <sz val="14"/>
        <color theme="1"/>
        <rFont val="Calibri"/>
        <family val="2"/>
        <scheme val="minor"/>
      </rPr>
      <t>Objectif 5</t>
    </r>
    <r>
      <rPr>
        <sz val="14"/>
        <color theme="1"/>
        <rFont val="Calibri"/>
        <family val="2"/>
        <scheme val="minor"/>
      </rPr>
      <t xml:space="preserve">
Une Agriculture moderne pour une productivité et une production accrues</t>
    </r>
  </si>
  <si>
    <r>
      <rPr>
        <b/>
        <sz val="14"/>
        <color theme="1"/>
        <rFont val="Calibri"/>
        <family val="2"/>
        <scheme val="minor"/>
      </rPr>
      <t>Goal 6</t>
    </r>
    <r>
      <rPr>
        <sz val="14"/>
        <color theme="1"/>
        <rFont val="Calibri"/>
        <family val="2"/>
        <scheme val="minor"/>
      </rPr>
      <t xml:space="preserve">
Une économie bleue et/ou maritime pour une croissance accélérée</t>
    </r>
  </si>
  <si>
    <r>
      <rPr>
        <b/>
        <sz val="14"/>
        <color theme="1"/>
        <rFont val="Calibri"/>
        <family val="2"/>
        <scheme val="minor"/>
      </rPr>
      <t>Goal 7</t>
    </r>
    <r>
      <rPr>
        <sz val="14"/>
        <color theme="1"/>
        <rFont val="Calibri"/>
        <family val="2"/>
        <scheme val="minor"/>
      </rPr>
      <t xml:space="preserve">
Des économies et des communautés résilientes aux phénomènes climatiques et respectueuses de l’environnement</t>
    </r>
  </si>
  <si>
    <t>Source des données</t>
  </si>
  <si>
    <r>
      <t xml:space="preserve">
</t>
    </r>
    <r>
      <rPr>
        <b/>
        <sz val="14"/>
        <color theme="1"/>
        <rFont val="Calibri"/>
        <family val="2"/>
        <scheme val="minor"/>
      </rPr>
      <t>Aspiration 3</t>
    </r>
    <r>
      <rPr>
        <sz val="14"/>
        <color theme="1"/>
        <rFont val="Calibri"/>
        <family val="2"/>
        <scheme val="minor"/>
      </rPr>
      <t xml:space="preserve">
Des citoyens en bonne santé et alimentés de manière appropriée </t>
    </r>
  </si>
  <si>
    <r>
      <rPr>
        <b/>
        <sz val="14"/>
        <color theme="1"/>
        <rFont val="Calibri"/>
        <family val="2"/>
        <scheme val="minor"/>
      </rPr>
      <t>Objectif 11</t>
    </r>
    <r>
      <rPr>
        <sz val="14"/>
        <color theme="1"/>
        <rFont val="Calibri"/>
        <family val="2"/>
        <scheme val="minor"/>
      </rPr>
      <t xml:space="preserve">
Valeurs et pratiques démocratiques, principes universels des droits de l’homme, de justice et de l’État de droits ancrés</t>
    </r>
  </si>
  <si>
    <r>
      <rPr>
        <b/>
        <sz val="14"/>
        <color theme="1"/>
        <rFont val="Calibri"/>
        <family val="2"/>
        <scheme val="minor"/>
      </rPr>
      <t>Goal 12</t>
    </r>
    <r>
      <rPr>
        <sz val="14"/>
        <color theme="1"/>
        <rFont val="Calibri"/>
        <family val="2"/>
        <scheme val="minor"/>
      </rPr>
      <t xml:space="preserve">
Institutions solides et leadership transformé en place à tous les niveaux</t>
    </r>
  </si>
  <si>
    <r>
      <t xml:space="preserve">
</t>
    </r>
    <r>
      <rPr>
        <b/>
        <sz val="14"/>
        <color theme="1"/>
        <rFont val="Calibri"/>
        <family val="2"/>
        <scheme val="minor"/>
      </rPr>
      <t>Aspiration 4</t>
    </r>
    <r>
      <rPr>
        <sz val="14"/>
        <color theme="1"/>
        <rFont val="Calibri"/>
        <family val="2"/>
        <scheme val="minor"/>
      </rPr>
      <t xml:space="preserve">
Une Afrique pacifique et sûre</t>
    </r>
  </si>
  <si>
    <r>
      <rPr>
        <b/>
        <sz val="14"/>
        <color theme="1"/>
        <rFont val="Calibri"/>
        <family val="2"/>
        <scheme val="minor"/>
      </rPr>
      <t>Objectif 13</t>
    </r>
    <r>
      <rPr>
        <sz val="14"/>
        <color theme="1"/>
        <rFont val="Calibri"/>
        <family val="2"/>
        <scheme val="minor"/>
      </rPr>
      <t xml:space="preserve">
Préserver la paix, la sécurité et la stabilité</t>
    </r>
  </si>
  <si>
    <r>
      <rPr>
        <b/>
        <sz val="14"/>
        <color theme="1"/>
        <rFont val="Calibri"/>
        <family val="2"/>
        <scheme val="minor"/>
      </rPr>
      <t>Objectif 14</t>
    </r>
    <r>
      <rPr>
        <sz val="14"/>
        <color theme="1"/>
        <rFont val="Calibri"/>
        <family val="2"/>
        <scheme val="minor"/>
      </rPr>
      <t xml:space="preserve">
Une Afrique stable et pacifique</t>
    </r>
  </si>
  <si>
    <r>
      <rPr>
        <b/>
        <sz val="14"/>
        <color theme="1"/>
        <rFont val="Calibri"/>
        <family val="2"/>
        <scheme val="minor"/>
      </rPr>
      <t>Objectif 15</t>
    </r>
    <r>
      <rPr>
        <sz val="14"/>
        <color theme="1"/>
        <rFont val="Calibri"/>
        <family val="2"/>
        <scheme val="minor"/>
      </rPr>
      <t xml:space="preserve">
Une Architecture de paix et de sécurité pleinement fonctionnelle et opérationnelle </t>
    </r>
  </si>
  <si>
    <r>
      <rPr>
        <b/>
        <sz val="14"/>
        <color theme="1"/>
        <rFont val="Calibri"/>
        <family val="2"/>
        <scheme val="minor"/>
      </rPr>
      <t>Goal 16</t>
    </r>
    <r>
      <rPr>
        <sz val="14"/>
        <color theme="1"/>
        <rFont val="Calibri"/>
        <family val="2"/>
        <scheme val="minor"/>
      </rPr>
      <t xml:space="preserve">
La renaissance culturelle africaine a une importance prédominante</t>
    </r>
  </si>
  <si>
    <r>
      <t xml:space="preserve">
</t>
    </r>
    <r>
      <rPr>
        <b/>
        <sz val="14"/>
        <color theme="1"/>
        <rFont val="Calibri"/>
        <family val="2"/>
        <scheme val="minor"/>
      </rPr>
      <t>Aspiration 6</t>
    </r>
    <r>
      <rPr>
        <sz val="14"/>
        <color theme="1"/>
        <rFont val="Calibri"/>
        <family val="2"/>
        <scheme val="minor"/>
      </rPr>
      <t xml:space="preserve">
Une Afrique dont le développement est dirigé par ses peuples et qui compte sur leur potentiel  </t>
    </r>
  </si>
  <si>
    <r>
      <rPr>
        <b/>
        <sz val="14"/>
        <color theme="1"/>
        <rFont val="Calibri"/>
        <family val="2"/>
        <scheme val="minor"/>
      </rPr>
      <t>Objectif 17</t>
    </r>
    <r>
      <rPr>
        <sz val="14"/>
        <color theme="1"/>
        <rFont val="Calibri"/>
        <family val="2"/>
        <scheme val="minor"/>
      </rPr>
      <t xml:space="preserve">
Full Gender Equality in All Spheres of Life</t>
    </r>
  </si>
  <si>
    <r>
      <rPr>
        <b/>
        <sz val="14"/>
        <color theme="1"/>
        <rFont val="Calibri"/>
        <family val="2"/>
        <scheme val="minor"/>
      </rPr>
      <t>Objectif 19</t>
    </r>
    <r>
      <rPr>
        <sz val="14"/>
        <color theme="1"/>
        <rFont val="Calibri"/>
        <family val="2"/>
        <scheme val="minor"/>
      </rPr>
      <t xml:space="preserve">
L’Afrique en tant que partenaire majeur dans les affaires mondiales et la coexistence pacifique</t>
    </r>
  </si>
  <si>
    <r>
      <rPr>
        <b/>
        <sz val="14"/>
        <color theme="1"/>
        <rFont val="Calibri"/>
        <family val="2"/>
        <scheme val="minor"/>
      </rPr>
      <t>Objectif 20</t>
    </r>
    <r>
      <rPr>
        <sz val="14"/>
        <color theme="1"/>
        <rFont val="Calibri"/>
        <family val="2"/>
        <scheme val="minor"/>
      </rPr>
      <t xml:space="preserve">
L’Afrique assume l’entière responsabilité du financement de son développement</t>
    </r>
  </si>
  <si>
    <r>
      <rPr>
        <b/>
        <sz val="14"/>
        <color theme="1"/>
        <rFont val="Calibri"/>
        <family val="2"/>
        <scheme val="minor"/>
      </rPr>
      <t>Aspiration 7</t>
    </r>
    <r>
      <rPr>
        <sz val="14"/>
        <color theme="1"/>
        <rFont val="Calibri"/>
        <family val="2"/>
        <scheme val="minor"/>
      </rPr>
      <t xml:space="preserve">
L’Afrique en tant que partenaire solide et influant sur la scène mondiale </t>
    </r>
  </si>
  <si>
    <t>Indicateur</t>
  </si>
  <si>
    <t>Retour à la première page Agenda 2063</t>
  </si>
  <si>
    <t>C</t>
  </si>
  <si>
    <t>#</t>
  </si>
  <si>
    <t xml:space="preserve">Indicateurs prioritaires de l'Agenda 2063 </t>
  </si>
  <si>
    <t>Valeurs de l'indicateur</t>
  </si>
  <si>
    <t xml:space="preserve">Commentaires </t>
  </si>
  <si>
    <t>Commentaires (spécificités et écarts par rapport aux Concepts et définitions du manuel de l'Agenda 2063)</t>
  </si>
  <si>
    <t>Prévalence de la sous-alimentation, total</t>
  </si>
  <si>
    <t>Prévalence de la sous-alimentation, Urbain</t>
  </si>
  <si>
    <t>Prévalence de la sous-alimentation, Rural</t>
  </si>
  <si>
    <t>01</t>
  </si>
  <si>
    <t>02</t>
  </si>
  <si>
    <t>03</t>
  </si>
  <si>
    <t>04</t>
  </si>
  <si>
    <t>06</t>
  </si>
  <si>
    <t>05</t>
  </si>
  <si>
    <t>07</t>
  </si>
  <si>
    <t>08</t>
  </si>
  <si>
    <t>09</t>
  </si>
  <si>
    <t>% de la population ayant accès à Internet, total</t>
  </si>
  <si>
    <t>% de la population ayant accès à Internet, urbain</t>
  </si>
  <si>
    <t>% de la population ayant accès à Internet, rural</t>
  </si>
  <si>
    <t>% de la population ayant accès à Internet, hommes</t>
  </si>
  <si>
    <t>% de la population ayant accès à Internet,, femmes</t>
  </si>
  <si>
    <t>10</t>
  </si>
  <si>
    <r>
      <t xml:space="preserve">% de la population urbaine vivant dans des bidonvilles, quartiers informels ou logements inadéquats, chef de ménage agé de </t>
    </r>
    <r>
      <rPr>
        <b/>
        <sz val="14"/>
        <rFont val="Calibri"/>
        <family val="2"/>
        <scheme val="minor"/>
      </rPr>
      <t>15-24 ans</t>
    </r>
  </si>
  <si>
    <r>
      <t>% de la population urbaine vivant dans des bidonvilles, quartiers informels ou logements inadéquats, chef de ménage agé de 6</t>
    </r>
    <r>
      <rPr>
        <b/>
        <sz val="14"/>
        <rFont val="Calibri"/>
        <family val="2"/>
        <scheme val="minor"/>
      </rPr>
      <t>5 ans et</t>
    </r>
  </si>
  <si>
    <r>
      <t>% de la population urbaine vivant dans des bidonvilles, quartiers informels ou logements inadéquats, chef de ménage agé de 2</t>
    </r>
    <r>
      <rPr>
        <b/>
        <sz val="14"/>
        <rFont val="Calibri"/>
        <family val="2"/>
        <scheme val="minor"/>
      </rPr>
      <t>5-34 ans</t>
    </r>
  </si>
  <si>
    <r>
      <t>% de la population urbaine vivant dans des bidonvilles, quartiers informels ou logements inadéquats, chef de ménage agé de 3</t>
    </r>
    <r>
      <rPr>
        <b/>
        <sz val="14"/>
        <rFont val="Calibri"/>
        <family val="2"/>
        <scheme val="minor"/>
      </rPr>
      <t>5-44 ans</t>
    </r>
  </si>
  <si>
    <r>
      <t>% de la population urbaine vivant dans des bidonvilles, quartiers informels ou logements inadéquats, chef de ménage agé de 4</t>
    </r>
    <r>
      <rPr>
        <b/>
        <sz val="14"/>
        <rFont val="Calibri"/>
        <family val="2"/>
        <scheme val="minor"/>
      </rPr>
      <t>5-54 ans</t>
    </r>
  </si>
  <si>
    <r>
      <t>% de la population urbaine vivant dans des bidonvilles, quartiers informels ou logements inadéquats, chef de ménage agé de 5</t>
    </r>
    <r>
      <rPr>
        <b/>
        <sz val="14"/>
        <rFont val="Calibri"/>
        <family val="2"/>
        <scheme val="minor"/>
      </rPr>
      <t>5-64 ans</t>
    </r>
  </si>
  <si>
    <t>Total</t>
  </si>
  <si>
    <t>Sex</t>
  </si>
  <si>
    <t>Urban/Rural</t>
  </si>
  <si>
    <t>Taux de change monnaie locale/Dollar US</t>
  </si>
  <si>
    <t>Sexe</t>
  </si>
  <si>
    <t>Groupe d'age</t>
  </si>
  <si>
    <t>Urbain, Total</t>
  </si>
  <si>
    <t>Urbain/Rural</t>
  </si>
  <si>
    <t>Proportion d'enseignants qualifiés en STEM, hommes</t>
  </si>
  <si>
    <t>Proportion d'enseignants qualifiés en STEM, au secondaire premier cycle</t>
  </si>
  <si>
    <t>Nombre d'enseignants qualifiés en STEM, hommes</t>
  </si>
  <si>
    <t>Proportion d'enseignants qualifiées dans les STEM, femmes</t>
  </si>
  <si>
    <t>Proportion d’enseignants qualifiés en Science ou Technologie ou Ingénierie ou Mathématiques  (STEM), total</t>
  </si>
  <si>
    <t>Nombre d'enseignants qualifiés en STEM, femmes</t>
  </si>
  <si>
    <t>Nombre d'enseignants qualifiés en STEM, au secondaire premier cycle</t>
  </si>
  <si>
    <t>Proportion d'enseignants qualifiés dans les STEM, au secondaire second cycle</t>
  </si>
  <si>
    <t>Nombre d'enseignants qualifiés en STEM, au secondaire second cycle</t>
  </si>
  <si>
    <t>Education level</t>
  </si>
  <si>
    <t>Population de femmes de 15 à 49 ans, urbain</t>
  </si>
  <si>
    <t>% de femmes en âge de procréer, de 15-49, ayant accès aux services de santé sexuelle et  reproductive, urbain</t>
  </si>
  <si>
    <t>% de femmes en âge de procréer, de 15-49, ayant accès aux services de santé sexuelle et  reproductive, rural</t>
  </si>
  <si>
    <t>Population de femmes de 15 à 49 ans, rural</t>
  </si>
  <si>
    <t>% de femmes en âge de procréer, de 15-49, ayant accès aux services de santé sexuelle et  reproductive, sans</t>
  </si>
  <si>
    <t>Population de femmes de 15 à 49 ans, sans</t>
  </si>
  <si>
    <t>% de femmes en âge de procréer, de 15-49, ayant accès aux services de santé sexuelle et  reproductive, primaire</t>
  </si>
  <si>
    <t>Population de femmes de 15 à 49 ans, primaire</t>
  </si>
  <si>
    <t>% de femmes en âge de procréer, de 15-49, ayant accès aux services de santé sexuelle et  reproductive, secondaire</t>
  </si>
  <si>
    <t>Population de femmes de 15 à 49 ans, secondaire</t>
  </si>
  <si>
    <t>% de femmes en âge de procréer, de 15-49, ayant accès aux services de santé sexuelle et  reproductive, tertiaire</t>
  </si>
  <si>
    <t>Population de femmes de 15 à 49 ans, tertiaire</t>
  </si>
  <si>
    <t>% de femmes en âge de procréer, de 15-19 ayant accès aux services de santé sexuelle et  reproductive</t>
  </si>
  <si>
    <t>% de femmes en âge de procréer, de 45-49 ayant accès aux services de santé sexuelle et  reproductive</t>
  </si>
  <si>
    <t>% de femmes en âge de procréer, de 20-24 ayant accès aux services de santé sexuelle et  reproductive</t>
  </si>
  <si>
    <t>% de femmes en âge de procréer, de 25-29 ayant accès aux services de santé sexuelle et  reproductive</t>
  </si>
  <si>
    <t>% de femmes en âge de procréer, de 30-35 ayant accès aux services de santé sexuelle et  reproductive</t>
  </si>
  <si>
    <t>% de femmes en âge de procréer, de 35-39 ayant accès aux services de santé sexuelle et  reproductive</t>
  </si>
  <si>
    <t>% de femmes en âge de procréer, de 40-44 ayant accès aux services de santé sexuelle et  reproductive</t>
  </si>
  <si>
    <t xml:space="preserve">Nombre de femmes agée de 15-19 </t>
  </si>
  <si>
    <t xml:space="preserve">Nombre de femmes agée de  20-24 </t>
  </si>
  <si>
    <t xml:space="preserve">Nombre de femmes agée de  25-29 </t>
  </si>
  <si>
    <t xml:space="preserve">Nombre de femmes agée de  30-34 </t>
  </si>
  <si>
    <t xml:space="preserve">Nombre de femmes agée de  35-39 </t>
  </si>
  <si>
    <t xml:space="preserve">Nombre de femmes agée de  40-44 </t>
  </si>
  <si>
    <t>Nombre de femmes agée de  45-49</t>
  </si>
  <si>
    <t>Ratio de mortalité maternelle, Urban</t>
  </si>
  <si>
    <t>Ratio de mortalité maternelle, Rural</t>
  </si>
  <si>
    <t>Ratio de mortalité maternelle, None</t>
  </si>
  <si>
    <t>Ratio de mortalité maternelle, Primary</t>
  </si>
  <si>
    <t>Ratio de mortalité maternelle, Secondary</t>
  </si>
  <si>
    <t>Ratio de mortalité maternelle, Tertiary</t>
  </si>
  <si>
    <t xml:space="preserve">Ratio de mortalité maternelle, age 15-19 </t>
  </si>
  <si>
    <t xml:space="preserve">Ratio de mortalité maternelle, age 20-24 </t>
  </si>
  <si>
    <t xml:space="preserve">Ratio de mortalité maternelle, age 25-29 </t>
  </si>
  <si>
    <t xml:space="preserve">Ratio de mortalité maternelle, age 30-34 </t>
  </si>
  <si>
    <t xml:space="preserve">Ratio de mortalité maternelle, age 35-39 </t>
  </si>
  <si>
    <t xml:space="preserve">Ratio de mortalité maternelle, age 40-44 </t>
  </si>
  <si>
    <t>Ratio de mortalité maternelle, age 45-49</t>
  </si>
  <si>
    <t>Taux de mortalité néonatale, total</t>
  </si>
  <si>
    <t>Taux de mortalité néonatale, Urbain</t>
  </si>
  <si>
    <t>Taux de mortalité néonatale, Rural</t>
  </si>
  <si>
    <t>Taux de mortalité néonatale, garçons</t>
  </si>
  <si>
    <t>Taux de mortalité néonatale, filles</t>
  </si>
  <si>
    <t>Taux de mortalité des moins de cinq ans, total</t>
  </si>
  <si>
    <t>Taux de mortalité des moins de cinq an, Rural</t>
  </si>
  <si>
    <t>Taux de mortalité des moins de cinq an, Urbain</t>
  </si>
  <si>
    <t>Taux de mortalité des moins de cinq an, garçons</t>
  </si>
  <si>
    <t>Taux de mortalité des moins de cinq an, filles</t>
  </si>
  <si>
    <t>Taux de mortalité des moins de cinq an, niveau d'éducation de la mère = sans</t>
  </si>
  <si>
    <t>Taux de mortalité des moins de cinq an, niveau d'éducation de la mère = primaire</t>
  </si>
  <si>
    <t>Taux de mortalité des moins de cinq an, niveau d'éducation de la mère = secondaire</t>
  </si>
  <si>
    <t>Taux de mortalité des moins de cinq an, niveau d'éducation de la mère = supérieur</t>
  </si>
  <si>
    <t>% d'accouchements assistés par du personnel de santé qualifié, total</t>
  </si>
  <si>
    <t>% d'accouchements assistés par du personnel de santé qualifié, urbain</t>
  </si>
  <si>
    <t>% d'accouchements assistés par du personnel de santé qualifié, rural</t>
  </si>
  <si>
    <t>Nombre de nouvelles infections à VIH pour 1000 habitants, total</t>
  </si>
  <si>
    <t>Nombre de nouvelles infections à VIH pour 1000 habitants , Rural</t>
  </si>
  <si>
    <t>Nombre de nouvelles infections à VIH pour 1000 habitants , age 0-14</t>
  </si>
  <si>
    <t>Nombre de nouvelles infections à VIH pour 1000 habitants , age 15-24</t>
  </si>
  <si>
    <t>Nombre de nouvelles infections à VIH pour 1000 habitants , age 25-49</t>
  </si>
  <si>
    <t>Nombre de nouvelles infections à VIH pour 1000 habitants , Urbain</t>
  </si>
  <si>
    <t>Nombre de nouvelles infections à VIH pour 1000 habitants , hommes</t>
  </si>
  <si>
    <t>Nombre de nouvelles infections à VIH pour 1000 habitants , femmes</t>
  </si>
  <si>
    <t>Incidence de la tuberculose pour 1000 personnes par an, total</t>
  </si>
  <si>
    <t>Incidence de la tuberculose pour 1000 personnes par an, Rural</t>
  </si>
  <si>
    <t>Incidence de la tuberculose pour 1000 personnes par an, Urbain</t>
  </si>
  <si>
    <t>Incidence de la tuberculose pour 1000 personnes par an, homme</t>
  </si>
  <si>
    <t>Incidence de la tuberculose pour 1000 personnes par an, femme</t>
  </si>
  <si>
    <t xml:space="preserve">Population éligible séropositive ayant accès aux ARV, total </t>
  </si>
  <si>
    <t>Prévalence de l'insuffisance pondérale chez les enfants de moins de 5 ans, Rural</t>
  </si>
  <si>
    <t>Prévalence de l'insuffisance pondérale chez les enfants de moins de 5 ans, Urbain</t>
  </si>
  <si>
    <t>Prévalence de l'insuffisance pondérale chez les enfants de moins de 5 ans, Garçons</t>
  </si>
  <si>
    <t>Prévalence de l'insuffisance pondérale chez les enfants de moins de 5 ans, filles</t>
  </si>
  <si>
    <t xml:space="preserve"> Produits prioritaires nationaux</t>
  </si>
  <si>
    <t>Niveau d'éducation de la mère</t>
  </si>
  <si>
    <t>Niveau d'éducation</t>
  </si>
  <si>
    <r>
      <rPr>
        <b/>
        <sz val="14"/>
        <color theme="1"/>
        <rFont val="Calibri"/>
        <family val="2"/>
        <scheme val="minor"/>
      </rPr>
      <t>Objectif 10</t>
    </r>
    <r>
      <rPr>
        <sz val="14"/>
        <color theme="1"/>
        <rFont val="Calibri"/>
        <family val="2"/>
        <scheme val="minor"/>
      </rPr>
      <t xml:space="preserve">
Une infrastructure d’envergure mondiale allant au-delà des frontières de l’Afrique</t>
    </r>
  </si>
  <si>
    <r>
      <rPr>
        <b/>
        <sz val="14"/>
        <color theme="1"/>
        <rFont val="Calibri"/>
        <family val="2"/>
        <scheme val="minor"/>
      </rPr>
      <t xml:space="preserve">Aspiration 2: </t>
    </r>
    <r>
      <rPr>
        <sz val="14"/>
        <color theme="1"/>
        <rFont val="Calibri"/>
        <family val="2"/>
        <scheme val="minor"/>
      </rPr>
      <t xml:space="preserve">                                             Un continent intégré, uni sur le plan politique et fondé sur les idéaux du panafricanisme et une vision de la renaissance africaine</t>
    </r>
  </si>
  <si>
    <t>Population, rural</t>
  </si>
  <si>
    <t>Population, Male</t>
  </si>
  <si>
    <t>Nombre de méga watts ajoutés au réseau national, total</t>
  </si>
  <si>
    <r>
      <t xml:space="preserve">Nombre de méga watts ajoutés au réseau national, </t>
    </r>
    <r>
      <rPr>
        <b/>
        <sz val="14"/>
        <rFont val="Calibri"/>
        <family val="2"/>
        <scheme val="minor"/>
      </rPr>
      <t>Solaire</t>
    </r>
  </si>
  <si>
    <r>
      <t xml:space="preserve">Nombre de méga watts ajoutés au réseau national, </t>
    </r>
    <r>
      <rPr>
        <b/>
        <sz val="14"/>
        <rFont val="Calibri"/>
        <family val="2"/>
        <scheme val="minor"/>
      </rPr>
      <t>hydroélectrique</t>
    </r>
  </si>
  <si>
    <r>
      <t xml:space="preserve">Nombre de méga watts ajoutés au réseau national, </t>
    </r>
    <r>
      <rPr>
        <b/>
        <sz val="14"/>
        <rFont val="Calibri"/>
        <family val="2"/>
        <scheme val="minor"/>
      </rPr>
      <t>thermique</t>
    </r>
  </si>
  <si>
    <r>
      <t xml:space="preserve">Nombre de méga watts ajoutés au réseau national, </t>
    </r>
    <r>
      <rPr>
        <b/>
        <sz val="14"/>
        <rFont val="Calibri"/>
        <family val="2"/>
        <scheme val="minor"/>
      </rPr>
      <t>autre (à préciser)</t>
    </r>
  </si>
  <si>
    <t>Population utilisant des téléphones portables , Rural</t>
  </si>
  <si>
    <t>Population utilisant des téléphones portables , Urbain</t>
  </si>
  <si>
    <t>Population, urbain</t>
  </si>
  <si>
    <t>Population utilisant des téléphones portables , hommes</t>
  </si>
  <si>
    <t>Population utilisant des téléphones portables , femmes</t>
  </si>
  <si>
    <t>Population, femmes</t>
  </si>
  <si>
    <t>Energy source</t>
  </si>
  <si>
    <t>% of people who believe that the elections are free, fair, and transparentage, 45-54</t>
  </si>
  <si>
    <t>% de personnes qui croient qu'il existe des mécanismes et des institutions de surveillance efficaces pour demander des comptes à leurs dirigeants, total</t>
  </si>
  <si>
    <t>% Personnes qui croient qu'il existe des mécanismes … dirigeants, urbain</t>
  </si>
  <si>
    <t>% Personnes qui croient qu'il existe des mécanismes … dirigeants, rural</t>
  </si>
  <si>
    <t>% Personnes qui croient qu'il existe des mécanismes … dirigeants, age 15-24</t>
  </si>
  <si>
    <t>% Personnes qui croient qu'il existe des mécanismes … dirigeants, age 25-34</t>
  </si>
  <si>
    <t>% Personnes qui croient qu'il existe des mécanismes … dirigeants, age 35-44</t>
  </si>
  <si>
    <t>% Personnes qui croient qu'il existe des mécanismes … dirigeants,age 45-54</t>
  </si>
  <si>
    <t>% Personnes qui croient qu'il existe des mécanismes … dirigeants,age 55 and over</t>
  </si>
  <si>
    <t>% Personnes qui croient qu'il existe des mécanismes … dirigeants, homme</t>
  </si>
  <si>
    <t>% Personnes qui croient qu'il existe des mécanismes … dirigeants, Femme</t>
  </si>
  <si>
    <t>% Personnes qui perçoivent qu'il y a la liberté de la presse, total</t>
  </si>
  <si>
    <t>% Personnes qui perçoivent qu'il y a la liberté de la presse, rural</t>
  </si>
  <si>
    <t>% Personnes qui perçoivent qu'il y a la liberté de la presse, age 15-24</t>
  </si>
  <si>
    <t>% Personnes qui perçoivent qu'il y a la liberté de la presse, age 25-34</t>
  </si>
  <si>
    <t>% Personnes qui perçoivent qu'il y a la liberté de la presse, age 35-44</t>
  </si>
  <si>
    <t>% Personnes qui perçoivent qu'il y a la liberté de la presse,age 45-54</t>
  </si>
  <si>
    <t>% Personnes qui perçoivent qu'il y a la liberté de la presse,age 55 and over</t>
  </si>
  <si>
    <t>% Personnes qui perçoivent qu'il y a la liberté de la presse, urbain</t>
  </si>
  <si>
    <t>% Personnes qui perçoivent qu'il y a la liberté de la presse, hommes</t>
  </si>
  <si>
    <t>% Personnes qui perçoivent qu'il y a la liberté de la presse, Femmes</t>
  </si>
  <si>
    <t>% de personnes qui estiment que les élections sont libres, justes et transparentes, total</t>
  </si>
  <si>
    <t>% de personnes qui estiment que les élections sont libres, justes et transparentes, rural</t>
  </si>
  <si>
    <t>% de personnes qui estiment que les élections sont libres, justes et transparentes, age 15-24</t>
  </si>
  <si>
    <t>% de personnes qui estiment que les élections sont libres, justes et transparentes, age 25-34</t>
  </si>
  <si>
    <t>% de personnes qui estiment que les élections sont libres, justes et transparentes, age 35-44</t>
  </si>
  <si>
    <t>% de personnes qui estiment que les élections sont libres, justes et transparentesage, 45-54</t>
  </si>
  <si>
    <t>% de personnes qui estiment que les élections sont libres, justes et transparentes, age 55 and over</t>
  </si>
  <si>
    <t>% de personnes qui estiment que les élections sont libres, justes et transparentes, hommes</t>
  </si>
  <si>
    <t>% de personnes qui estiment que les élections sont libres, justes et transparentes urbain</t>
  </si>
  <si>
    <t>% de personnes qui estiment que les élections sont libres, justes et transparentes, Femmes</t>
  </si>
  <si>
    <t>Proportion de personnes qui ont eu au moins un contact avec un agent public et qui ont versé un pot-de-vin à un agent public ou qui ont été sollicitées pour un pot-de-vin par ces agents publics au cours des douze derniers mois, total</t>
  </si>
  <si>
    <t>Proportion de personnes qui ont eu au moins un contact avec un agent public ….mois,  urban</t>
  </si>
  <si>
    <t>Proportion de personnes qui ont eu au moins un contact avec un agent public ….mois rural</t>
  </si>
  <si>
    <t>Proportion de personnes qui ont eu au moins un contact avec un agent public ….mois Male</t>
  </si>
  <si>
    <t>Proportion de personnes qui ont eu au moins un contact avec un agent public ….mois Female</t>
  </si>
  <si>
    <t>Proportion de personnes qui ont eu au moins un contact avec un agent public ….mois age 15-24</t>
  </si>
  <si>
    <t>Proportion de personnes qui ont eu au moins un contact avec un agent public ….mois age 25-34</t>
  </si>
  <si>
    <t>Proportion de personnes qui ont eu au moins un contact avec un agent public ….mois age 35-44</t>
  </si>
  <si>
    <t>Proportion de personnes qui ont eu au moins un contact avec un agent public ….mois age 55 and over</t>
  </si>
  <si>
    <t>53a</t>
  </si>
  <si>
    <t>53b</t>
  </si>
  <si>
    <t>Goupe d'age</t>
  </si>
  <si>
    <t>Type de conflit</t>
  </si>
  <si>
    <r>
      <t xml:space="preserve">
</t>
    </r>
    <r>
      <rPr>
        <b/>
        <sz val="14"/>
        <color theme="1"/>
        <rFont val="Calibri"/>
        <family val="2"/>
        <scheme val="minor"/>
      </rPr>
      <t>Aspiration 5</t>
    </r>
    <r>
      <rPr>
        <sz val="14"/>
        <color theme="1"/>
        <rFont val="Calibri"/>
        <family val="2"/>
        <scheme val="minor"/>
      </rPr>
      <t xml:space="preserve">:                                   Une Afrique qui a une identité culturelle forte, des valeurs, une éthique et un héritage communs
</t>
    </r>
    <r>
      <rPr>
        <b/>
        <sz val="14"/>
        <color theme="1"/>
        <rFont val="Calibri"/>
        <family val="2"/>
        <scheme val="minor"/>
      </rPr>
      <t/>
    </r>
  </si>
  <si>
    <r>
      <rPr>
        <b/>
        <sz val="14"/>
        <color theme="1"/>
        <rFont val="Calibri"/>
        <family val="2"/>
        <scheme val="minor"/>
      </rPr>
      <t>Objectif 18</t>
    </r>
    <r>
      <rPr>
        <sz val="14"/>
        <color theme="1"/>
        <rFont val="Calibri"/>
        <family val="2"/>
        <scheme val="minor"/>
      </rPr>
      <t>:                                                                           Les jeunes et les enfants engagés et autonomisés</t>
    </r>
  </si>
  <si>
    <t>Population agricole totale possédant des droits de propriété ou des droits fonciers garantis sur les terres agricoles, total</t>
  </si>
  <si>
    <t>Population,  hommes</t>
  </si>
  <si>
    <t>Population agricole totale possédant des droits de propriété ou des droits fonciers garantis sur les terres agricoles, hommes</t>
  </si>
  <si>
    <t>Population agricole totale possédant des droits de propriété ou des droits fonciers garantis sur les terres agricoles, femmes</t>
  </si>
  <si>
    <t>Population,  femmes</t>
  </si>
  <si>
    <t>Region/Local</t>
  </si>
  <si>
    <t>Type de partenaires</t>
  </si>
  <si>
    <t>Group d'age</t>
  </si>
  <si>
    <t>Désaggrégation</t>
  </si>
  <si>
    <t>35 a</t>
  </si>
  <si>
    <t>35 b</t>
  </si>
  <si>
    <t>52a</t>
  </si>
  <si>
    <t>52b</t>
  </si>
  <si>
    <t>59a</t>
  </si>
  <si>
    <t>59b</t>
  </si>
  <si>
    <t>59c</t>
  </si>
  <si>
    <t>61a</t>
  </si>
  <si>
    <t>61b</t>
  </si>
  <si>
    <t xml:space="preserve">Produit 1 (Riz) </t>
  </si>
  <si>
    <t xml:space="preserve">Produit 2 (Fonio) </t>
  </si>
  <si>
    <t xml:space="preserve">Produit 3 (Mais) </t>
  </si>
  <si>
    <t xml:space="preserve">Produit 4 (Manioc) </t>
  </si>
  <si>
    <t xml:space="preserve">Produit 5 (Arachide)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</si>
</sst>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sz val="11"/>
      <color theme="0"/>
      <name val="Calibri"/>
      <family val="2"/>
      <scheme val="minor"/>
    </font>
    <font>
      <b/>
      <sz val="23"/>
      <color theme="4" tint="-0.249977111117893"/>
      <name val="Calibri"/>
      <family val="2"/>
      <scheme val="minor"/>
    </font>
    <font>
      <sz val="14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4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i/>
      <u/>
      <sz val="11"/>
      <color theme="10"/>
      <name val="Calibri"/>
      <family val="2"/>
      <scheme val="minor"/>
    </font>
    <font>
      <b/>
      <sz val="14"/>
      <name val="Calibri"/>
      <family val="2"/>
      <scheme val="minor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4"/>
      <color theme="0"/>
      <name val="Calibri"/>
      <family val="2"/>
      <scheme val="minor"/>
    </font>
    <font>
      <sz val="11"/>
      <color theme="1"/>
      <name val="Arial Black"/>
      <family val="2"/>
    </font>
    <font>
      <sz val="14"/>
      <color rgb="FF222222"/>
      <name val="Calibri"/>
      <family val="2"/>
      <scheme val="minor"/>
    </font>
    <font>
      <b/>
      <sz val="14"/>
      <color rgb="FF222222"/>
      <name val="Calibri"/>
      <family val="2"/>
      <scheme val="minor"/>
    </font>
    <font>
      <b/>
      <sz val="14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0"/>
      <color theme="4" tint="-0.249977111117893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8"/>
      </patternFill>
    </fill>
    <fill>
      <patternFill patternType="solid">
        <fgColor theme="9" tint="0.79998168889431442"/>
        <bgColor indexed="65"/>
      </patternFill>
    </fill>
    <fill>
      <patternFill patternType="solid">
        <fgColor rgb="FF262626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97E4FF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theme="0"/>
        <bgColor indexed="64"/>
      </patternFill>
    </fill>
  </fills>
  <borders count="12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slantDashDot">
        <color rgb="FFFF0000"/>
      </left>
      <right/>
      <top style="slantDashDot">
        <color rgb="FFFF0000"/>
      </top>
      <bottom style="slantDashDot">
        <color rgb="FFFF0000"/>
      </bottom>
      <diagonal/>
    </border>
    <border>
      <left/>
      <right/>
      <top style="slantDashDot">
        <color rgb="FFFF0000"/>
      </top>
      <bottom style="slantDashDot">
        <color rgb="FFFF0000"/>
      </bottom>
      <diagonal/>
    </border>
    <border>
      <left/>
      <right style="slantDashDot">
        <color rgb="FFFF0000"/>
      </right>
      <top style="slantDashDot">
        <color rgb="FFFF0000"/>
      </top>
      <bottom style="slantDashDot">
        <color rgb="FFFF0000"/>
      </bottom>
      <diagonal/>
    </border>
    <border>
      <left/>
      <right style="mediumDashed">
        <color rgb="FFFF0000"/>
      </right>
      <top style="medium">
        <color indexed="64"/>
      </top>
      <bottom style="hair">
        <color indexed="64"/>
      </bottom>
      <diagonal/>
    </border>
    <border>
      <left/>
      <right style="mediumDashed">
        <color rgb="FFFF0000"/>
      </right>
      <top style="hair">
        <color indexed="64"/>
      </top>
      <bottom style="hair">
        <color indexed="64"/>
      </bottom>
      <diagonal/>
    </border>
    <border>
      <left/>
      <right style="mediumDashed">
        <color rgb="FFFF0000"/>
      </right>
      <top/>
      <bottom style="medium">
        <color indexed="64"/>
      </bottom>
      <diagonal/>
    </border>
    <border>
      <left/>
      <right style="mediumDashed">
        <color rgb="FFFF0000"/>
      </right>
      <top style="hair">
        <color indexed="64"/>
      </top>
      <bottom style="medium">
        <color indexed="64"/>
      </bottom>
      <diagonal/>
    </border>
    <border>
      <left/>
      <right style="mediumDashed">
        <color rgb="FFFF0000"/>
      </right>
      <top style="hair">
        <color indexed="64"/>
      </top>
      <bottom/>
      <diagonal/>
    </border>
    <border>
      <left/>
      <right style="mediumDashed">
        <color rgb="FFFF0000"/>
      </right>
      <top/>
      <bottom style="hair">
        <color indexed="64"/>
      </bottom>
      <diagonal/>
    </border>
    <border>
      <left style="mediumDashed">
        <color rgb="FFFF0000"/>
      </left>
      <right style="dashed">
        <color indexed="64"/>
      </right>
      <top style="mediumDashed">
        <color rgb="FFFF0000"/>
      </top>
      <bottom style="hair">
        <color rgb="FFFF0000"/>
      </bottom>
      <diagonal/>
    </border>
    <border>
      <left/>
      <right style="mediumDashed">
        <color rgb="FFFF0000"/>
      </right>
      <top style="mediumDashed">
        <color rgb="FFFF0000"/>
      </top>
      <bottom style="hair">
        <color rgb="FFFF0000"/>
      </bottom>
      <diagonal/>
    </border>
    <border>
      <left style="mediumDashed">
        <color rgb="FFFF0000"/>
      </left>
      <right style="dashed">
        <color indexed="64"/>
      </right>
      <top style="hair">
        <color rgb="FFFF0000"/>
      </top>
      <bottom style="hair">
        <color rgb="FFFF0000"/>
      </bottom>
      <diagonal/>
    </border>
    <border>
      <left/>
      <right style="mediumDashed">
        <color rgb="FFFF0000"/>
      </right>
      <top style="hair">
        <color rgb="FFFF0000"/>
      </top>
      <bottom style="hair">
        <color rgb="FFFF0000"/>
      </bottom>
      <diagonal/>
    </border>
    <border>
      <left style="mediumDashed">
        <color rgb="FFFF0000"/>
      </left>
      <right style="dashed">
        <color indexed="64"/>
      </right>
      <top/>
      <bottom style="medium">
        <color indexed="64"/>
      </bottom>
      <diagonal/>
    </border>
    <border>
      <left style="mediumDashed">
        <color rgb="FFFF0000"/>
      </left>
      <right style="dashed">
        <color indexed="64"/>
      </right>
      <top style="medium">
        <color indexed="64"/>
      </top>
      <bottom style="hair">
        <color rgb="FFFF0000"/>
      </bottom>
      <diagonal/>
    </border>
    <border>
      <left/>
      <right style="mediumDashed">
        <color rgb="FFFF0000"/>
      </right>
      <top style="medium">
        <color indexed="64"/>
      </top>
      <bottom style="hair">
        <color rgb="FFFF0000"/>
      </bottom>
      <diagonal/>
    </border>
    <border>
      <left/>
      <right style="mediumDashed">
        <color rgb="FFFF0000"/>
      </right>
      <top/>
      <bottom/>
      <diagonal/>
    </border>
    <border>
      <left style="mediumDashed">
        <color rgb="FFFF0000"/>
      </left>
      <right style="dashed">
        <color indexed="64"/>
      </right>
      <top/>
      <bottom/>
      <diagonal/>
    </border>
    <border>
      <left style="mediumDashed">
        <color rgb="FFFF0000"/>
      </left>
      <right style="dashed">
        <color indexed="64"/>
      </right>
      <top/>
      <bottom style="mediumDashed">
        <color rgb="FFFF0000"/>
      </bottom>
      <diagonal/>
    </border>
    <border>
      <left/>
      <right style="mediumDashed">
        <color rgb="FFFF0000"/>
      </right>
      <top/>
      <bottom style="mediumDashed">
        <color rgb="FFFF0000"/>
      </bottom>
      <diagonal/>
    </border>
    <border>
      <left/>
      <right style="mediumDashed">
        <color rgb="FFFF0000"/>
      </right>
      <top style="medium">
        <color indexed="64"/>
      </top>
      <bottom/>
      <diagonal/>
    </border>
    <border>
      <left style="mediumDashed">
        <color rgb="FFFF0000"/>
      </left>
      <right/>
      <top/>
      <bottom/>
      <diagonal/>
    </border>
    <border>
      <left style="mediumDashed">
        <color rgb="FFFF0000"/>
      </left>
      <right style="dashed">
        <color indexed="64"/>
      </right>
      <top/>
      <bottom style="hair">
        <color rgb="FFFF0000"/>
      </bottom>
      <diagonal/>
    </border>
    <border>
      <left/>
      <right style="mediumDashed">
        <color rgb="FFFF0000"/>
      </right>
      <top/>
      <bottom style="hair">
        <color rgb="FFFF0000"/>
      </bottom>
      <diagonal/>
    </border>
    <border>
      <left style="mediumDashed">
        <color rgb="FFFF0000"/>
      </left>
      <right style="dashed">
        <color indexed="64"/>
      </right>
      <top style="hair">
        <color rgb="FFFF0000"/>
      </top>
      <bottom style="medium">
        <color indexed="64"/>
      </bottom>
      <diagonal/>
    </border>
    <border>
      <left/>
      <right style="mediumDashed">
        <color rgb="FFFF0000"/>
      </right>
      <top style="hair">
        <color rgb="FFFF0000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Dashed">
        <color rgb="FFFF0000"/>
      </top>
      <bottom style="hair">
        <color rgb="FFFF0000"/>
      </bottom>
      <diagonal/>
    </border>
    <border>
      <left/>
      <right/>
      <top style="hair">
        <color rgb="FFFF0000"/>
      </top>
      <bottom style="hair">
        <color rgb="FFFF0000"/>
      </bottom>
      <diagonal/>
    </border>
    <border>
      <left/>
      <right/>
      <top style="medium">
        <color indexed="64"/>
      </top>
      <bottom style="hair">
        <color rgb="FFFF0000"/>
      </bottom>
      <diagonal/>
    </border>
    <border>
      <left/>
      <right/>
      <top/>
      <bottom style="hair">
        <color rgb="FFFF0000"/>
      </bottom>
      <diagonal/>
    </border>
    <border>
      <left/>
      <right/>
      <top/>
      <bottom style="mediumDashed">
        <color rgb="FFFF0000"/>
      </bottom>
      <diagonal/>
    </border>
    <border>
      <left style="mediumDashed">
        <color rgb="FFFF0000"/>
      </left>
      <right style="mediumDashed">
        <color rgb="FFFF0000"/>
      </right>
      <top style="hair">
        <color rgb="FFFF0000"/>
      </top>
      <bottom style="medium">
        <color auto="1"/>
      </bottom>
      <diagonal/>
    </border>
    <border>
      <left/>
      <right/>
      <top style="hair">
        <color rgb="FFFF0000"/>
      </top>
      <bottom style="medium">
        <color auto="1"/>
      </bottom>
      <diagonal/>
    </border>
    <border>
      <left/>
      <right/>
      <top/>
      <bottom style="dotted">
        <color indexed="64"/>
      </bottom>
      <diagonal/>
    </border>
    <border>
      <left style="mediumDashed">
        <color rgb="FFFF0000"/>
      </left>
      <right style="mediumDashed">
        <color rgb="FFFF0000"/>
      </right>
      <top/>
      <bottom/>
      <diagonal/>
    </border>
    <border>
      <left style="mediumDashed">
        <color rgb="FFFF0000"/>
      </left>
      <right style="mediumDashed">
        <color rgb="FFFF0000"/>
      </right>
      <top style="hair">
        <color rgb="FFFF0000"/>
      </top>
      <bottom style="mediumDashed">
        <color rgb="FFFF0000"/>
      </bottom>
      <diagonal/>
    </border>
    <border>
      <left style="mediumDashed">
        <color rgb="FFFF0000"/>
      </left>
      <right style="mediumDashed">
        <color rgb="FFFF0000"/>
      </right>
      <top style="hair">
        <color rgb="FFFF0000"/>
      </top>
      <bottom style="hair">
        <color rgb="FFFF0000"/>
      </bottom>
      <diagonal/>
    </border>
    <border>
      <left style="mediumDashed">
        <color rgb="FFFF0000"/>
      </left>
      <right style="mediumDashed">
        <color rgb="FFFF0000"/>
      </right>
      <top style="hair">
        <color rgb="FFFF0000"/>
      </top>
      <bottom/>
      <diagonal/>
    </border>
    <border>
      <left style="mediumDashed">
        <color rgb="FFFF0000"/>
      </left>
      <right style="mediumDashed">
        <color rgb="FFFF0000"/>
      </right>
      <top/>
      <bottom style="hair">
        <color rgb="FFFF0000"/>
      </bottom>
      <diagonal/>
    </border>
    <border>
      <left style="mediumDashed">
        <color rgb="FFFF0000"/>
      </left>
      <right style="mediumDashed">
        <color rgb="FFFF0000"/>
      </right>
      <top style="medium">
        <color auto="1"/>
      </top>
      <bottom style="hair">
        <color rgb="FFFF0000"/>
      </bottom>
      <diagonal/>
    </border>
    <border>
      <left style="mediumDashed">
        <color rgb="FFFF0000"/>
      </left>
      <right/>
      <top/>
      <bottom style="mediumDashed">
        <color rgb="FFFF0000"/>
      </bottom>
      <diagonal/>
    </border>
    <border>
      <left/>
      <right style="mediumDashed">
        <color rgb="FFFF0000"/>
      </right>
      <top style="hair">
        <color theme="1"/>
      </top>
      <bottom/>
      <diagonal/>
    </border>
    <border>
      <left/>
      <right style="mediumDashed">
        <color rgb="FFFF0000"/>
      </right>
      <top style="medium">
        <color theme="1"/>
      </top>
      <bottom/>
      <diagonal/>
    </border>
    <border>
      <left style="mediumDashed">
        <color rgb="FFFF0000"/>
      </left>
      <right style="dashed">
        <color indexed="64"/>
      </right>
      <top style="hair">
        <color rgb="FFFF0000"/>
      </top>
      <bottom/>
      <diagonal/>
    </border>
    <border>
      <left/>
      <right/>
      <top style="hair">
        <color rgb="FFFF0000"/>
      </top>
      <bottom/>
      <diagonal/>
    </border>
    <border>
      <left/>
      <right style="mediumDashed">
        <color rgb="FFFF0000"/>
      </right>
      <top style="hair">
        <color rgb="FFFF0000"/>
      </top>
      <bottom/>
      <diagonal/>
    </border>
    <border>
      <left style="mediumDashed">
        <color rgb="FFFF0000"/>
      </left>
      <right style="dashed">
        <color indexed="64"/>
      </right>
      <top style="hair">
        <color rgb="FFFF0000"/>
      </top>
      <bottom style="mediumDashed">
        <color rgb="FFFF0000"/>
      </bottom>
      <diagonal/>
    </border>
    <border>
      <left/>
      <right/>
      <top style="hair">
        <color rgb="FFFF0000"/>
      </top>
      <bottom style="mediumDashed">
        <color rgb="FFFF0000"/>
      </bottom>
      <diagonal/>
    </border>
    <border>
      <left/>
      <right style="mediumDashed">
        <color rgb="FFFF0000"/>
      </right>
      <top style="hair">
        <color rgb="FFFF0000"/>
      </top>
      <bottom style="mediumDashed">
        <color rgb="FFFF0000"/>
      </bottom>
      <diagonal/>
    </border>
    <border>
      <left/>
      <right style="mediumDashed">
        <color rgb="FFFF0000"/>
      </right>
      <top/>
      <bottom style="medium">
        <color theme="1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ck">
        <color rgb="FFFFFFFF"/>
      </bottom>
      <diagonal/>
    </border>
    <border>
      <left/>
      <right style="mediumDashed">
        <color rgb="FFFF0000"/>
      </right>
      <top style="thin">
        <color theme="0"/>
      </top>
      <bottom style="thick">
        <color rgb="FFFFFFFF"/>
      </bottom>
      <diagonal/>
    </border>
    <border>
      <left style="hair">
        <color indexed="64"/>
      </left>
      <right style="hair">
        <color indexed="64"/>
      </right>
      <top style="thick">
        <color rgb="FFFFFFFF"/>
      </top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/>
      <bottom style="medium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/>
      <right style="hair">
        <color indexed="64"/>
      </right>
      <top/>
      <bottom/>
      <diagonal/>
    </border>
    <border>
      <left/>
      <right style="hair">
        <color indexed="64"/>
      </right>
      <top/>
      <bottom style="medium">
        <color indexed="64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/>
      <right style="hair">
        <color auto="1"/>
      </right>
      <top style="medium">
        <color indexed="64"/>
      </top>
      <bottom/>
      <diagonal/>
    </border>
    <border>
      <left style="hair">
        <color indexed="64"/>
      </left>
      <right style="hair">
        <color indexed="64"/>
      </right>
      <top style="medium">
        <color indexed="64"/>
      </top>
      <bottom/>
      <diagonal/>
    </border>
    <border>
      <left/>
      <right style="hair">
        <color auto="1"/>
      </right>
      <top/>
      <bottom style="medium">
        <color theme="1"/>
      </bottom>
      <diagonal/>
    </border>
    <border>
      <left style="hair">
        <color indexed="64"/>
      </left>
      <right style="mediumDashed">
        <color rgb="FFFF0000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Dashed">
        <color rgb="FFFF0000"/>
      </right>
      <top style="hair">
        <color indexed="64"/>
      </top>
      <bottom style="hair">
        <color theme="1"/>
      </bottom>
      <diagonal/>
    </border>
    <border>
      <left style="medium">
        <color indexed="64"/>
      </left>
      <right/>
      <top style="thick">
        <color rgb="FFFFFFFF"/>
      </top>
      <bottom/>
      <diagonal/>
    </border>
    <border>
      <left/>
      <right/>
      <top style="thick">
        <color rgb="FFFFFFFF"/>
      </top>
      <bottom/>
      <diagonal/>
    </border>
    <border>
      <left style="hair">
        <color theme="1"/>
      </left>
      <right style="hair">
        <color theme="1"/>
      </right>
      <top style="thick">
        <color rgb="FFFFFFFF"/>
      </top>
      <bottom/>
      <diagonal/>
    </border>
    <border>
      <left style="hair">
        <color theme="1"/>
      </left>
      <right style="hair">
        <color theme="1"/>
      </right>
      <top style="thick">
        <color rgb="FFFFFFFF"/>
      </top>
      <bottom style="hair">
        <color theme="1"/>
      </bottom>
      <diagonal/>
    </border>
    <border>
      <left style="hair">
        <color theme="1"/>
      </left>
      <right style="hair">
        <color theme="1"/>
      </right>
      <top/>
      <bottom/>
      <diagonal/>
    </border>
    <border>
      <left style="hair">
        <color theme="1"/>
      </left>
      <right style="hair">
        <color theme="1"/>
      </right>
      <top style="hair">
        <color theme="1"/>
      </top>
      <bottom/>
      <diagonal/>
    </border>
    <border>
      <left style="hair">
        <color theme="1"/>
      </left>
      <right style="hair">
        <color theme="1"/>
      </right>
      <top/>
      <bottom style="hair">
        <color theme="1"/>
      </bottom>
      <diagonal/>
    </border>
    <border>
      <left/>
      <right style="hair">
        <color theme="1"/>
      </right>
      <top style="hair">
        <color theme="1"/>
      </top>
      <bottom/>
      <diagonal/>
    </border>
    <border>
      <left/>
      <right style="hair">
        <color theme="1"/>
      </right>
      <top/>
      <bottom/>
      <diagonal/>
    </border>
    <border>
      <left style="hair">
        <color theme="1"/>
      </left>
      <right style="hair">
        <color theme="1"/>
      </right>
      <top/>
      <bottom style="medium">
        <color indexed="64"/>
      </bottom>
      <diagonal/>
    </border>
    <border>
      <left/>
      <right/>
      <top/>
      <bottom style="medium">
        <color theme="1"/>
      </bottom>
      <diagonal/>
    </border>
    <border>
      <left/>
      <right style="mediumDashed">
        <color rgb="FFFF0000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Dashed">
        <color rgb="FFFF0000"/>
      </right>
      <top/>
      <bottom style="hair">
        <color theme="1"/>
      </bottom>
      <diagonal/>
    </border>
    <border>
      <left style="mediumDashed">
        <color rgb="FFFF0000"/>
      </left>
      <right style="dashed">
        <color indexed="64"/>
      </right>
      <top/>
      <bottom style="hair">
        <color theme="1"/>
      </bottom>
      <diagonal/>
    </border>
    <border>
      <left/>
      <right/>
      <top/>
      <bottom style="hair">
        <color theme="1"/>
      </bottom>
      <diagonal/>
    </border>
    <border>
      <left style="mediumDashed">
        <color rgb="FFFF0000"/>
      </left>
      <right style="dashed">
        <color indexed="64"/>
      </right>
      <top style="medium">
        <color theme="1"/>
      </top>
      <bottom style="hair">
        <color theme="1"/>
      </bottom>
      <diagonal/>
    </border>
    <border>
      <left/>
      <right/>
      <top style="medium">
        <color theme="1"/>
      </top>
      <bottom style="hair">
        <color theme="1"/>
      </bottom>
      <diagonal/>
    </border>
    <border>
      <left/>
      <right style="mediumDashed">
        <color rgb="FFFF0000"/>
      </right>
      <top style="medium">
        <color theme="1"/>
      </top>
      <bottom style="hair">
        <color theme="1"/>
      </bottom>
      <diagonal/>
    </border>
    <border>
      <left style="mediumDashed">
        <color rgb="FFFF0000"/>
      </left>
      <right style="mediumDashed">
        <color rgb="FFFF0000"/>
      </right>
      <top style="medium">
        <color theme="1"/>
      </top>
      <bottom style="hair">
        <color theme="1"/>
      </bottom>
      <diagonal/>
    </border>
    <border>
      <left/>
      <right style="mediumDashed">
        <color rgb="FFFF0000"/>
      </right>
      <top style="hair">
        <color theme="1"/>
      </top>
      <bottom style="mediumDashed">
        <color rgb="FFFF0000"/>
      </bottom>
      <diagonal/>
    </border>
    <border>
      <left/>
      <right/>
      <top style="hair">
        <color theme="1"/>
      </top>
      <bottom style="mediumDashed">
        <color rgb="FFFF0000"/>
      </bottom>
      <diagonal/>
    </border>
    <border>
      <left style="mediumDashed">
        <color rgb="FFFF0000"/>
      </left>
      <right style="dashed">
        <color indexed="64"/>
      </right>
      <top style="hair">
        <color theme="1"/>
      </top>
      <bottom style="mediumDashed">
        <color rgb="FFFF0000"/>
      </bottom>
      <diagonal/>
    </border>
    <border>
      <left style="mediumDashed">
        <color rgb="FFFF0000"/>
      </left>
      <right style="mediumDashed">
        <color rgb="FFFF0000"/>
      </right>
      <top style="hair">
        <color theme="1"/>
      </top>
      <bottom style="mediumDashed">
        <color rgb="FFFF0000"/>
      </bottom>
      <diagonal/>
    </border>
    <border>
      <left style="mediumDashed">
        <color rgb="FFFF0000"/>
      </left>
      <right style="mediumDashed">
        <color rgb="FFFF0000"/>
      </right>
      <top style="medium">
        <color auto="1"/>
      </top>
      <bottom style="medium">
        <color theme="1"/>
      </bottom>
      <diagonal/>
    </border>
    <border>
      <left style="mediumDashed">
        <color rgb="FFFF0000"/>
      </left>
      <right style="dashed">
        <color indexed="64"/>
      </right>
      <top style="medium">
        <color auto="1"/>
      </top>
      <bottom style="medium">
        <color theme="1"/>
      </bottom>
      <diagonal/>
    </border>
    <border>
      <left/>
      <right/>
      <top style="medium">
        <color auto="1"/>
      </top>
      <bottom style="medium">
        <color theme="1"/>
      </bottom>
      <diagonal/>
    </border>
    <border>
      <left/>
      <right style="mediumDashed">
        <color rgb="FFFF0000"/>
      </right>
      <top style="medium">
        <color auto="1"/>
      </top>
      <bottom style="medium">
        <color theme="1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Dashed">
        <color rgb="FFFF0000"/>
      </right>
      <top style="medium">
        <color indexed="64"/>
      </top>
      <bottom style="hair">
        <color indexed="64"/>
      </bottom>
      <diagonal/>
    </border>
    <border>
      <left style="mediumDashed">
        <color rgb="FFFF0000"/>
      </left>
      <right/>
      <top style="thick">
        <color rgb="FFFFFFFF"/>
      </top>
      <bottom/>
      <diagonal/>
    </border>
    <border>
      <left/>
      <right style="mediumDashed">
        <color rgb="FFFF0000"/>
      </right>
      <top style="thick">
        <color rgb="FFFFFFFF"/>
      </top>
      <bottom/>
      <diagonal/>
    </border>
    <border>
      <left style="mediumDashed">
        <color rgb="FFFF0000"/>
      </left>
      <right/>
      <top style="thick">
        <color rgb="FFFFFFFF"/>
      </top>
      <bottom style="mediumDashed">
        <color rgb="FFFF0000"/>
      </bottom>
      <diagonal/>
    </border>
    <border>
      <left/>
      <right style="mediumDashed">
        <color rgb="FFFF0000"/>
      </right>
      <top style="thick">
        <color rgb="FFFFFFFF"/>
      </top>
      <bottom style="mediumDashed">
        <color rgb="FFFF0000"/>
      </bottom>
      <diagonal/>
    </border>
  </borders>
  <cellStyleXfs count="5">
    <xf numFmtId="0" fontId="0" fillId="0" borderId="0"/>
    <xf numFmtId="0" fontId="2" fillId="0" borderId="0" applyNumberFormat="0" applyFill="0" applyBorder="0" applyAlignment="0" applyProtection="0"/>
    <xf numFmtId="0" fontId="3" fillId="2" borderId="0" applyNumberFormat="0" applyBorder="0" applyAlignment="0" applyProtection="0"/>
    <xf numFmtId="0" fontId="1" fillId="3" borderId="0" applyNumberFormat="0" applyBorder="0" applyAlignment="0" applyProtection="0"/>
    <xf numFmtId="0" fontId="9" fillId="0" borderId="0" applyNumberFormat="0" applyFill="0" applyBorder="0" applyAlignment="0" applyProtection="0"/>
  </cellStyleXfs>
  <cellXfs count="272">
    <xf numFmtId="0" fontId="0" fillId="0" borderId="0" xfId="0"/>
    <xf numFmtId="0" fontId="6" fillId="0" borderId="0" xfId="0" applyFont="1"/>
    <xf numFmtId="0" fontId="6" fillId="0" borderId="0" xfId="0" applyFont="1" applyAlignment="1">
      <alignment horizontal="left"/>
    </xf>
    <xf numFmtId="0" fontId="0" fillId="0" borderId="0" xfId="0" applyAlignment="1">
      <alignment horizontal="center"/>
    </xf>
    <xf numFmtId="0" fontId="1" fillId="3" borderId="0" xfId="3"/>
    <xf numFmtId="0" fontId="6" fillId="0" borderId="4" xfId="0" applyFont="1" applyBorder="1" applyAlignment="1">
      <alignment horizontal="center" vertical="center" wrapText="1"/>
    </xf>
    <xf numFmtId="0" fontId="10" fillId="0" borderId="0" xfId="4" applyFont="1" applyAlignment="1">
      <alignment horizontal="center" vertical="center"/>
    </xf>
    <xf numFmtId="0" fontId="4" fillId="8" borderId="0" xfId="0" applyFont="1" applyFill="1" applyAlignment="1">
      <alignment horizontal="center" vertical="top"/>
    </xf>
    <xf numFmtId="0" fontId="5" fillId="3" borderId="13" xfId="1" applyFont="1" applyFill="1" applyBorder="1" applyAlignment="1">
      <alignment horizontal="left" vertical="center" wrapText="1"/>
    </xf>
    <xf numFmtId="0" fontId="5" fillId="3" borderId="14" xfId="1" applyFont="1" applyFill="1" applyBorder="1" applyAlignment="1">
      <alignment horizontal="left" vertical="center" wrapText="1"/>
    </xf>
    <xf numFmtId="0" fontId="5" fillId="3" borderId="15" xfId="1" applyFont="1" applyFill="1" applyBorder="1" applyAlignment="1">
      <alignment horizontal="left" vertical="center" wrapText="1"/>
    </xf>
    <xf numFmtId="0" fontId="6" fillId="7" borderId="18" xfId="3" applyFont="1" applyFill="1" applyBorder="1" applyAlignment="1" applyProtection="1">
      <alignment horizontal="center" vertical="center"/>
      <protection locked="0"/>
    </xf>
    <xf numFmtId="0" fontId="6" fillId="7" borderId="19" xfId="3" applyFont="1" applyFill="1" applyBorder="1" applyAlignment="1" applyProtection="1">
      <alignment horizontal="center" vertical="center"/>
      <protection locked="0"/>
    </xf>
    <xf numFmtId="0" fontId="6" fillId="0" borderId="0" xfId="0" applyFont="1" applyAlignment="1">
      <alignment horizontal="left" indent="2"/>
    </xf>
    <xf numFmtId="0" fontId="6" fillId="7" borderId="36" xfId="3" applyFont="1" applyFill="1" applyBorder="1" applyAlignment="1" applyProtection="1">
      <alignment horizontal="center" vertical="center"/>
      <protection locked="0"/>
    </xf>
    <xf numFmtId="0" fontId="11" fillId="3" borderId="12" xfId="1" applyFont="1" applyFill="1" applyBorder="1" applyAlignment="1">
      <alignment horizontal="left" vertical="center" wrapText="1"/>
    </xf>
    <xf numFmtId="0" fontId="11" fillId="3" borderId="13" xfId="1" applyFont="1" applyFill="1" applyBorder="1" applyAlignment="1">
      <alignment horizontal="left" vertical="center" wrapText="1"/>
    </xf>
    <xf numFmtId="0" fontId="11" fillId="3" borderId="13" xfId="1" applyFont="1" applyFill="1" applyBorder="1" applyAlignment="1">
      <alignment horizontal="left" vertical="center" wrapText="1" indent="2"/>
    </xf>
    <xf numFmtId="0" fontId="11" fillId="3" borderId="16" xfId="1" applyFont="1" applyFill="1" applyBorder="1" applyAlignment="1">
      <alignment horizontal="left" vertical="center" wrapText="1"/>
    </xf>
    <xf numFmtId="0" fontId="11" fillId="3" borderId="17" xfId="1" applyFont="1" applyFill="1" applyBorder="1" applyAlignment="1">
      <alignment horizontal="left" vertical="center" wrapText="1" indent="3"/>
    </xf>
    <xf numFmtId="0" fontId="6" fillId="0" borderId="0" xfId="0" applyFont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11" fillId="3" borderId="15" xfId="1" applyFont="1" applyFill="1" applyBorder="1" applyAlignment="1">
      <alignment horizontal="left" vertical="center" wrapText="1"/>
    </xf>
    <xf numFmtId="0" fontId="6" fillId="7" borderId="48" xfId="3" applyFont="1" applyFill="1" applyBorder="1" applyAlignment="1" applyProtection="1">
      <alignment horizontal="left" vertical="center" indent="2"/>
      <protection locked="0"/>
    </xf>
    <xf numFmtId="0" fontId="18" fillId="0" borderId="0" xfId="0" applyFont="1" applyAlignment="1">
      <alignment horizontal="left" vertical="center" indent="3"/>
    </xf>
    <xf numFmtId="0" fontId="19" fillId="10" borderId="0" xfId="0" applyFont="1" applyFill="1" applyAlignment="1">
      <alignment horizontal="left" vertical="center" indent="1"/>
    </xf>
    <xf numFmtId="0" fontId="19" fillId="10" borderId="52" xfId="0" applyFont="1" applyFill="1" applyBorder="1" applyAlignment="1">
      <alignment vertical="center"/>
    </xf>
    <xf numFmtId="0" fontId="19" fillId="10" borderId="25" xfId="0" applyFont="1" applyFill="1" applyBorder="1" applyAlignment="1">
      <alignment vertical="center"/>
    </xf>
    <xf numFmtId="0" fontId="19" fillId="10" borderId="25" xfId="0" applyFont="1" applyFill="1" applyBorder="1" applyAlignment="1">
      <alignment vertical="center" wrapText="1"/>
    </xf>
    <xf numFmtId="0" fontId="19" fillId="10" borderId="29" xfId="0" applyFont="1" applyFill="1" applyBorder="1" applyAlignment="1">
      <alignment vertical="center"/>
    </xf>
    <xf numFmtId="0" fontId="19" fillId="10" borderId="7" xfId="0" applyFont="1" applyFill="1" applyBorder="1" applyAlignment="1">
      <alignment vertical="center"/>
    </xf>
    <xf numFmtId="0" fontId="19" fillId="10" borderId="7" xfId="0" applyFont="1" applyFill="1" applyBorder="1" applyAlignment="1">
      <alignment horizontal="left" vertical="center" wrapText="1" indent="1"/>
    </xf>
    <xf numFmtId="0" fontId="19" fillId="10" borderId="17" xfId="0" applyFont="1" applyFill="1" applyBorder="1" applyAlignment="1">
      <alignment vertical="center"/>
    </xf>
    <xf numFmtId="0" fontId="18" fillId="0" borderId="59" xfId="0" applyFont="1" applyBorder="1" applyAlignment="1">
      <alignment horizontal="left" vertical="center" indent="3"/>
    </xf>
    <xf numFmtId="0" fontId="20" fillId="10" borderId="60" xfId="0" applyFont="1" applyFill="1" applyBorder="1" applyAlignment="1">
      <alignment vertical="center" wrapText="1"/>
    </xf>
    <xf numFmtId="0" fontId="20" fillId="10" borderId="43" xfId="0" applyFont="1" applyFill="1" applyBorder="1" applyAlignment="1">
      <alignment vertical="center" wrapText="1"/>
    </xf>
    <xf numFmtId="0" fontId="7" fillId="4" borderId="63" xfId="0" applyFont="1" applyFill="1" applyBorder="1" applyAlignment="1">
      <alignment horizontal="center" vertical="center" wrapText="1"/>
    </xf>
    <xf numFmtId="0" fontId="7" fillId="9" borderId="63" xfId="0" applyFont="1" applyFill="1" applyBorder="1" applyAlignment="1">
      <alignment horizontal="center" vertical="center" wrapText="1"/>
    </xf>
    <xf numFmtId="0" fontId="16" fillId="11" borderId="64" xfId="2" applyFont="1" applyFill="1" applyBorder="1" applyAlignment="1">
      <alignment horizontal="center" vertical="center" wrapText="1"/>
    </xf>
    <xf numFmtId="0" fontId="8" fillId="11" borderId="64" xfId="0" applyFont="1" applyFill="1" applyBorder="1"/>
    <xf numFmtId="0" fontId="16" fillId="2" borderId="64" xfId="2" applyFont="1" applyBorder="1" applyAlignment="1">
      <alignment horizontal="center" vertical="center" wrapText="1"/>
    </xf>
    <xf numFmtId="0" fontId="23" fillId="2" borderId="64" xfId="2" applyFont="1" applyBorder="1" applyAlignment="1">
      <alignment horizontal="center" vertical="center" wrapText="1"/>
    </xf>
    <xf numFmtId="0" fontId="24" fillId="2" borderId="65" xfId="2" applyFont="1" applyBorder="1" applyAlignment="1">
      <alignment horizontal="center" vertical="center" wrapText="1"/>
    </xf>
    <xf numFmtId="0" fontId="8" fillId="0" borderId="0" xfId="0" applyFont="1"/>
    <xf numFmtId="0" fontId="6" fillId="0" borderId="69" xfId="0" quotePrefix="1" applyFont="1" applyBorder="1" applyAlignment="1">
      <alignment horizontal="center" vertical="center" wrapText="1"/>
    </xf>
    <xf numFmtId="0" fontId="5" fillId="12" borderId="13" xfId="1" applyFont="1" applyFill="1" applyBorder="1" applyAlignment="1">
      <alignment horizontal="left" vertical="center" wrapText="1" indent="4"/>
    </xf>
    <xf numFmtId="0" fontId="8" fillId="0" borderId="62" xfId="0" quotePrefix="1" applyFont="1" applyBorder="1" applyAlignment="1">
      <alignment horizontal="center" vertical="center" wrapText="1"/>
    </xf>
    <xf numFmtId="0" fontId="8" fillId="0" borderId="74" xfId="0" applyFont="1" applyBorder="1" applyAlignment="1">
      <alignment horizontal="center" vertical="center" wrapText="1"/>
    </xf>
    <xf numFmtId="0" fontId="8" fillId="0" borderId="69" xfId="0" applyFont="1" applyBorder="1" applyAlignment="1">
      <alignment horizontal="center" vertical="center" wrapText="1"/>
    </xf>
    <xf numFmtId="0" fontId="8" fillId="0" borderId="7" xfId="0" applyFont="1" applyBorder="1" applyAlignment="1">
      <alignment horizontal="center" vertical="center" wrapText="1"/>
    </xf>
    <xf numFmtId="0" fontId="8" fillId="0" borderId="62" xfId="0" applyFont="1" applyBorder="1" applyAlignment="1">
      <alignment horizontal="center" vertical="center" wrapText="1"/>
    </xf>
    <xf numFmtId="0" fontId="5" fillId="12" borderId="13" xfId="1" applyFont="1" applyFill="1" applyBorder="1" applyAlignment="1">
      <alignment horizontal="left" vertical="center" wrapText="1" indent="3"/>
    </xf>
    <xf numFmtId="0" fontId="5" fillId="12" borderId="16" xfId="1" applyFont="1" applyFill="1" applyBorder="1" applyAlignment="1">
      <alignment horizontal="left" vertical="center" wrapText="1" indent="3"/>
    </xf>
    <xf numFmtId="0" fontId="5" fillId="12" borderId="15" xfId="1" applyFont="1" applyFill="1" applyBorder="1" applyAlignment="1">
      <alignment horizontal="left" vertical="center" wrapText="1" indent="3"/>
    </xf>
    <xf numFmtId="0" fontId="8" fillId="0" borderId="67" xfId="0" applyFont="1" applyBorder="1" applyAlignment="1">
      <alignment horizontal="center" vertical="center"/>
    </xf>
    <xf numFmtId="0" fontId="8" fillId="0" borderId="62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77" xfId="0" applyFont="1" applyBorder="1" applyAlignment="1">
      <alignment horizontal="center" vertical="center" wrapText="1"/>
    </xf>
    <xf numFmtId="0" fontId="8" fillId="0" borderId="8" xfId="0" applyFont="1" applyBorder="1" applyAlignment="1">
      <alignment horizontal="center" vertical="center" wrapText="1"/>
    </xf>
    <xf numFmtId="0" fontId="8" fillId="0" borderId="61" xfId="0" applyFont="1" applyBorder="1" applyAlignment="1">
      <alignment horizontal="center" vertical="center" wrapText="1"/>
    </xf>
    <xf numFmtId="0" fontId="18" fillId="12" borderId="79" xfId="0" applyFont="1" applyFill="1" applyBorder="1" applyAlignment="1">
      <alignment horizontal="left" vertical="center" indent="3"/>
    </xf>
    <xf numFmtId="0" fontId="18" fillId="12" borderId="80" xfId="0" applyFont="1" applyFill="1" applyBorder="1" applyAlignment="1">
      <alignment horizontal="left" vertical="center" indent="3"/>
    </xf>
    <xf numFmtId="0" fontId="11" fillId="3" borderId="51" xfId="1" applyFont="1" applyFill="1" applyBorder="1" applyAlignment="1">
      <alignment horizontal="left" vertical="center" wrapText="1"/>
    </xf>
    <xf numFmtId="0" fontId="5" fillId="12" borderId="17" xfId="1" applyFont="1" applyFill="1" applyBorder="1" applyAlignment="1">
      <alignment horizontal="left" vertical="center" wrapText="1" indent="3"/>
    </xf>
    <xf numFmtId="0" fontId="18" fillId="12" borderId="79" xfId="0" applyFont="1" applyFill="1" applyBorder="1" applyAlignment="1">
      <alignment horizontal="left" vertical="center" wrapText="1" indent="3"/>
    </xf>
    <xf numFmtId="0" fontId="18" fillId="12" borderId="80" xfId="0" applyFont="1" applyFill="1" applyBorder="1" applyAlignment="1">
      <alignment horizontal="left" vertical="center" wrapText="1" indent="3"/>
    </xf>
    <xf numFmtId="0" fontId="8" fillId="0" borderId="84" xfId="0" applyFont="1" applyBorder="1" applyAlignment="1">
      <alignment horizontal="center" vertical="center" wrapText="1"/>
    </xf>
    <xf numFmtId="0" fontId="0" fillId="0" borderId="0" xfId="0" applyAlignment="1">
      <alignment horizontal="right" vertical="center"/>
    </xf>
    <xf numFmtId="0" fontId="0" fillId="0" borderId="40" xfId="0" applyBorder="1" applyAlignment="1">
      <alignment horizontal="right" vertical="center"/>
    </xf>
    <xf numFmtId="0" fontId="0" fillId="0" borderId="28" xfId="0" applyBorder="1" applyAlignment="1">
      <alignment horizontal="right" vertical="center"/>
    </xf>
    <xf numFmtId="0" fontId="16" fillId="2" borderId="65" xfId="2" applyFont="1" applyBorder="1" applyAlignment="1">
      <alignment horizontal="center" vertical="center" wrapText="1"/>
    </xf>
    <xf numFmtId="0" fontId="5" fillId="10" borderId="29" xfId="1" applyFont="1" applyFill="1" applyBorder="1" applyAlignment="1">
      <alignment vertical="center" wrapText="1"/>
    </xf>
    <xf numFmtId="0" fontId="5" fillId="12" borderId="15" xfId="1" applyFont="1" applyFill="1" applyBorder="1" applyAlignment="1">
      <alignment horizontal="left" vertical="center" wrapText="1" indent="4"/>
    </xf>
    <xf numFmtId="0" fontId="0" fillId="0" borderId="50" xfId="0" applyBorder="1" applyAlignment="1">
      <alignment horizontal="right" vertical="center"/>
    </xf>
    <xf numFmtId="0" fontId="6" fillId="0" borderId="86" xfId="0" applyFont="1" applyBorder="1" applyAlignment="1">
      <alignment horizontal="center" vertical="center" wrapText="1"/>
    </xf>
    <xf numFmtId="0" fontId="6" fillId="0" borderId="91" xfId="0" applyFont="1" applyBorder="1" applyAlignment="1">
      <alignment horizontal="center" vertical="center" wrapText="1"/>
    </xf>
    <xf numFmtId="0" fontId="5" fillId="12" borderId="16" xfId="1" applyFont="1" applyFill="1" applyBorder="1" applyAlignment="1">
      <alignment horizontal="left" vertical="center" wrapText="1" indent="4"/>
    </xf>
    <xf numFmtId="0" fontId="6" fillId="0" borderId="93" xfId="0" applyFont="1" applyBorder="1" applyAlignment="1">
      <alignment horizontal="center" vertical="center" wrapText="1"/>
    </xf>
    <xf numFmtId="0" fontId="5" fillId="3" borderId="92" xfId="1" applyFont="1" applyFill="1" applyBorder="1" applyAlignment="1">
      <alignment horizontal="left" vertical="center" wrapText="1"/>
    </xf>
    <xf numFmtId="0" fontId="5" fillId="3" borderId="94" xfId="1" applyFont="1" applyFill="1" applyBorder="1" applyAlignment="1">
      <alignment horizontal="left" vertical="center" wrapText="1"/>
    </xf>
    <xf numFmtId="0" fontId="16" fillId="2" borderId="63" xfId="2" applyFont="1" applyBorder="1" applyAlignment="1">
      <alignment horizontal="center" vertical="center" wrapText="1"/>
    </xf>
    <xf numFmtId="0" fontId="16" fillId="11" borderId="63" xfId="2" applyFont="1" applyFill="1" applyBorder="1" applyAlignment="1">
      <alignment horizontal="center" vertical="center" wrapText="1"/>
    </xf>
    <xf numFmtId="0" fontId="21" fillId="0" borderId="35" xfId="0" applyFont="1" applyBorder="1" applyAlignment="1">
      <alignment horizontal="center" vertical="center"/>
    </xf>
    <xf numFmtId="0" fontId="21" fillId="0" borderId="8" xfId="0" applyFont="1" applyBorder="1" applyAlignment="1">
      <alignment horizontal="center" vertical="center"/>
    </xf>
    <xf numFmtId="0" fontId="8" fillId="0" borderId="61" xfId="0" applyFont="1" applyBorder="1" applyAlignment="1">
      <alignment horizontal="center" vertical="center"/>
    </xf>
    <xf numFmtId="0" fontId="5" fillId="12" borderId="13" xfId="1" applyFont="1" applyFill="1" applyBorder="1" applyAlignment="1">
      <alignment horizontal="left" vertical="center" wrapText="1" indent="1"/>
    </xf>
    <xf numFmtId="0" fontId="5" fillId="12" borderId="13" xfId="1" applyFont="1" applyFill="1" applyBorder="1" applyAlignment="1">
      <alignment horizontal="left" vertical="center" wrapText="1"/>
    </xf>
    <xf numFmtId="0" fontId="8" fillId="0" borderId="110" xfId="0" applyFont="1" applyBorder="1" applyAlignment="1">
      <alignment horizontal="center" vertical="center" wrapText="1"/>
    </xf>
    <xf numFmtId="0" fontId="8" fillId="0" borderId="111" xfId="0" applyFont="1" applyBorder="1" applyAlignment="1">
      <alignment horizontal="center" vertical="center" wrapText="1"/>
    </xf>
    <xf numFmtId="0" fontId="8" fillId="0" borderId="112" xfId="0" applyFont="1" applyBorder="1" applyAlignment="1">
      <alignment horizontal="center" vertical="center" wrapText="1"/>
    </xf>
    <xf numFmtId="0" fontId="8" fillId="0" borderId="113" xfId="0" applyFont="1" applyBorder="1" applyAlignment="1">
      <alignment horizontal="center" vertical="center" wrapText="1"/>
    </xf>
    <xf numFmtId="0" fontId="8" fillId="0" borderId="114" xfId="0" applyFont="1" applyBorder="1" applyAlignment="1">
      <alignment horizontal="center" vertical="center" wrapText="1"/>
    </xf>
    <xf numFmtId="0" fontId="21" fillId="0" borderId="77" xfId="0" applyFont="1" applyBorder="1" applyAlignment="1">
      <alignment horizontal="center" vertical="center"/>
    </xf>
    <xf numFmtId="0" fontId="21" fillId="0" borderId="70" xfId="0" applyFont="1" applyBorder="1" applyAlignment="1">
      <alignment horizontal="center" vertical="center"/>
    </xf>
    <xf numFmtId="0" fontId="5" fillId="3" borderId="16" xfId="1" applyFont="1" applyFill="1" applyBorder="1" applyAlignment="1">
      <alignment horizontal="left" vertical="center" wrapText="1"/>
    </xf>
    <xf numFmtId="0" fontId="11" fillId="3" borderId="115" xfId="1" applyFont="1" applyFill="1" applyBorder="1" applyAlignment="1">
      <alignment horizontal="left" vertical="center" wrapText="1"/>
    </xf>
    <xf numFmtId="0" fontId="19" fillId="10" borderId="115" xfId="0" applyFont="1" applyFill="1" applyBorder="1" applyAlignment="1">
      <alignment vertical="center"/>
    </xf>
    <xf numFmtId="0" fontId="6" fillId="7" borderId="18" xfId="3" applyFont="1" applyFill="1" applyBorder="1" applyAlignment="1" applyProtection="1">
      <alignment horizontal="right" vertical="center"/>
      <protection locked="0"/>
    </xf>
    <xf numFmtId="0" fontId="6" fillId="7" borderId="36" xfId="3" applyFont="1" applyFill="1" applyBorder="1" applyAlignment="1" applyProtection="1">
      <alignment horizontal="right" vertical="center"/>
      <protection locked="0"/>
    </xf>
    <xf numFmtId="0" fontId="6" fillId="7" borderId="19" xfId="3" applyFont="1" applyFill="1" applyBorder="1" applyAlignment="1" applyProtection="1">
      <alignment horizontal="right" vertical="center"/>
      <protection locked="0"/>
    </xf>
    <xf numFmtId="0" fontId="6" fillId="7" borderId="20" xfId="3" applyFont="1" applyFill="1" applyBorder="1" applyAlignment="1" applyProtection="1">
      <alignment horizontal="right" vertical="center" indent="2"/>
      <protection locked="0"/>
    </xf>
    <xf numFmtId="0" fontId="6" fillId="7" borderId="37" xfId="3" applyFont="1" applyFill="1" applyBorder="1" applyAlignment="1" applyProtection="1">
      <alignment horizontal="right" vertical="center" indent="2"/>
      <protection locked="0"/>
    </xf>
    <xf numFmtId="0" fontId="6" fillId="7" borderId="21" xfId="3" applyFont="1" applyFill="1" applyBorder="1" applyAlignment="1" applyProtection="1">
      <alignment horizontal="right" vertical="center" indent="2"/>
      <protection locked="0"/>
    </xf>
    <xf numFmtId="0" fontId="6" fillId="7" borderId="46" xfId="3" applyFont="1" applyFill="1" applyBorder="1" applyAlignment="1" applyProtection="1">
      <alignment horizontal="right" vertical="center" indent="2"/>
      <protection locked="0"/>
    </xf>
    <xf numFmtId="0" fontId="6" fillId="7" borderId="20" xfId="3" applyFont="1" applyFill="1" applyBorder="1" applyAlignment="1" applyProtection="1">
      <alignment horizontal="right" vertical="center"/>
      <protection locked="0"/>
    </xf>
    <xf numFmtId="0" fontId="6" fillId="7" borderId="37" xfId="3" applyFont="1" applyFill="1" applyBorder="1" applyAlignment="1" applyProtection="1">
      <alignment horizontal="right" vertical="center"/>
      <protection locked="0"/>
    </xf>
    <xf numFmtId="0" fontId="6" fillId="7" borderId="21" xfId="3" applyFont="1" applyFill="1" applyBorder="1" applyAlignment="1" applyProtection="1">
      <alignment horizontal="right" vertical="center"/>
      <protection locked="0"/>
    </xf>
    <xf numFmtId="0" fontId="6" fillId="7" borderId="37" xfId="3" applyFont="1" applyFill="1" applyBorder="1" applyAlignment="1" applyProtection="1">
      <alignment horizontal="right" vertical="center" wrapText="1"/>
      <protection locked="0"/>
    </xf>
    <xf numFmtId="0" fontId="6" fillId="7" borderId="53" xfId="3" applyFont="1" applyFill="1" applyBorder="1" applyAlignment="1" applyProtection="1">
      <alignment horizontal="right" vertical="center"/>
      <protection locked="0"/>
    </xf>
    <xf numFmtId="0" fontId="6" fillId="7" borderId="54" xfId="3" applyFont="1" applyFill="1" applyBorder="1" applyAlignment="1" applyProtection="1">
      <alignment horizontal="right" vertical="center"/>
      <protection locked="0"/>
    </xf>
    <xf numFmtId="0" fontId="6" fillId="7" borderId="55" xfId="3" applyFont="1" applyFill="1" applyBorder="1" applyAlignment="1" applyProtection="1">
      <alignment horizontal="right" vertical="center"/>
      <protection locked="0"/>
    </xf>
    <xf numFmtId="0" fontId="6" fillId="7" borderId="47" xfId="3" applyFont="1" applyFill="1" applyBorder="1" applyAlignment="1" applyProtection="1">
      <alignment horizontal="right" vertical="center" indent="2"/>
      <protection locked="0"/>
    </xf>
    <xf numFmtId="0" fontId="6" fillId="7" borderId="23" xfId="3" applyFont="1" applyFill="1" applyBorder="1" applyAlignment="1" applyProtection="1">
      <alignment horizontal="right" vertical="center"/>
      <protection locked="0"/>
    </xf>
    <xf numFmtId="0" fontId="6" fillId="7" borderId="38" xfId="3" applyFont="1" applyFill="1" applyBorder="1" applyAlignment="1" applyProtection="1">
      <alignment horizontal="right" vertical="center"/>
      <protection locked="0"/>
    </xf>
    <xf numFmtId="0" fontId="6" fillId="7" borderId="24" xfId="3" applyFont="1" applyFill="1" applyBorder="1" applyAlignment="1" applyProtection="1">
      <alignment horizontal="right" vertical="center"/>
      <protection locked="0"/>
    </xf>
    <xf numFmtId="0" fontId="6" fillId="7" borderId="49" xfId="3" applyFont="1" applyFill="1" applyBorder="1" applyAlignment="1" applyProtection="1">
      <alignment horizontal="right" vertical="center" indent="2"/>
      <protection locked="0"/>
    </xf>
    <xf numFmtId="0" fontId="6" fillId="7" borderId="26" xfId="3" applyFont="1" applyFill="1" applyBorder="1" applyAlignment="1" applyProtection="1">
      <alignment horizontal="right" vertical="center"/>
      <protection locked="0"/>
    </xf>
    <xf numFmtId="0" fontId="6" fillId="7" borderId="0" xfId="3" applyFont="1" applyFill="1" applyBorder="1" applyAlignment="1" applyProtection="1">
      <alignment horizontal="right" vertical="center"/>
      <protection locked="0"/>
    </xf>
    <xf numFmtId="0" fontId="6" fillId="7" borderId="25" xfId="3" applyFont="1" applyFill="1" applyBorder="1" applyAlignment="1" applyProtection="1">
      <alignment horizontal="right" vertical="center"/>
      <protection locked="0"/>
    </xf>
    <xf numFmtId="0" fontId="6" fillId="7" borderId="31" xfId="3" applyFont="1" applyFill="1" applyBorder="1" applyAlignment="1" applyProtection="1">
      <alignment horizontal="right" vertical="center"/>
      <protection locked="0"/>
    </xf>
    <xf numFmtId="0" fontId="6" fillId="7" borderId="39" xfId="3" applyFont="1" applyFill="1" applyBorder="1" applyAlignment="1" applyProtection="1">
      <alignment horizontal="right" vertical="center"/>
      <protection locked="0"/>
    </xf>
    <xf numFmtId="0" fontId="6" fillId="7" borderId="32" xfId="3" applyFont="1" applyFill="1" applyBorder="1" applyAlignment="1" applyProtection="1">
      <alignment horizontal="right" vertical="center"/>
      <protection locked="0"/>
    </xf>
    <xf numFmtId="0" fontId="6" fillId="7" borderId="22" xfId="3" applyFont="1" applyFill="1" applyBorder="1" applyAlignment="1" applyProtection="1">
      <alignment horizontal="right" vertical="center"/>
      <protection locked="0"/>
    </xf>
    <xf numFmtId="0" fontId="6" fillId="7" borderId="8" xfId="3" applyFont="1" applyFill="1" applyBorder="1" applyAlignment="1" applyProtection="1">
      <alignment horizontal="right" vertical="center"/>
      <protection locked="0"/>
    </xf>
    <xf numFmtId="0" fontId="6" fillId="7" borderId="14" xfId="3" applyFont="1" applyFill="1" applyBorder="1" applyAlignment="1" applyProtection="1">
      <alignment horizontal="right" vertical="center"/>
      <protection locked="0"/>
    </xf>
    <xf numFmtId="0" fontId="6" fillId="7" borderId="27" xfId="3" applyFont="1" applyFill="1" applyBorder="1" applyAlignment="1" applyProtection="1">
      <alignment horizontal="right" vertical="center"/>
      <protection locked="0"/>
    </xf>
    <xf numFmtId="0" fontId="6" fillId="7" borderId="40" xfId="3" applyFont="1" applyFill="1" applyBorder="1" applyAlignment="1" applyProtection="1">
      <alignment horizontal="right" vertical="center"/>
      <protection locked="0"/>
    </xf>
    <xf numFmtId="0" fontId="6" fillId="7" borderId="28" xfId="3" applyFont="1" applyFill="1" applyBorder="1" applyAlignment="1" applyProtection="1">
      <alignment horizontal="right" vertical="center"/>
      <protection locked="0"/>
    </xf>
    <xf numFmtId="0" fontId="6" fillId="7" borderId="56" xfId="3" applyFont="1" applyFill="1" applyBorder="1" applyAlignment="1" applyProtection="1">
      <alignment horizontal="right" vertical="center" indent="2"/>
      <protection locked="0"/>
    </xf>
    <xf numFmtId="0" fontId="6" fillId="7" borderId="57" xfId="3" applyFont="1" applyFill="1" applyBorder="1" applyAlignment="1" applyProtection="1">
      <alignment horizontal="right" vertical="center" indent="2"/>
      <protection locked="0"/>
    </xf>
    <xf numFmtId="0" fontId="6" fillId="7" borderId="58" xfId="3" applyFont="1" applyFill="1" applyBorder="1" applyAlignment="1" applyProtection="1">
      <alignment horizontal="right" vertical="center" indent="2"/>
      <protection locked="0"/>
    </xf>
    <xf numFmtId="0" fontId="6" fillId="7" borderId="56" xfId="3" applyFont="1" applyFill="1" applyBorder="1" applyAlignment="1" applyProtection="1">
      <alignment horizontal="right" vertical="center"/>
      <protection locked="0"/>
    </xf>
    <xf numFmtId="0" fontId="6" fillId="7" borderId="57" xfId="3" applyFont="1" applyFill="1" applyBorder="1" applyAlignment="1" applyProtection="1">
      <alignment horizontal="right" vertical="center"/>
      <protection locked="0"/>
    </xf>
    <xf numFmtId="0" fontId="6" fillId="7" borderId="58" xfId="3" applyFont="1" applyFill="1" applyBorder="1" applyAlignment="1" applyProtection="1">
      <alignment horizontal="right" vertical="center"/>
      <protection locked="0"/>
    </xf>
    <xf numFmtId="0" fontId="6" fillId="7" borderId="33" xfId="3" applyFont="1" applyFill="1" applyBorder="1" applyAlignment="1" applyProtection="1">
      <alignment horizontal="right" vertical="center"/>
      <protection locked="0"/>
    </xf>
    <xf numFmtId="0" fontId="6" fillId="7" borderId="42" xfId="3" applyFont="1" applyFill="1" applyBorder="1" applyAlignment="1" applyProtection="1">
      <alignment horizontal="right" vertical="center"/>
      <protection locked="0"/>
    </xf>
    <xf numFmtId="0" fontId="6" fillId="7" borderId="34" xfId="3" applyFont="1" applyFill="1" applyBorder="1" applyAlignment="1" applyProtection="1">
      <alignment horizontal="right" vertical="center"/>
      <protection locked="0"/>
    </xf>
    <xf numFmtId="0" fontId="6" fillId="7" borderId="26" xfId="3" applyFont="1" applyFill="1" applyBorder="1" applyAlignment="1" applyProtection="1">
      <alignment horizontal="right" vertical="center" indent="2"/>
      <protection locked="0"/>
    </xf>
    <xf numFmtId="0" fontId="6" fillId="7" borderId="0" xfId="3" applyFont="1" applyFill="1" applyBorder="1" applyAlignment="1" applyProtection="1">
      <alignment horizontal="right" vertical="center" indent="2"/>
      <protection locked="0"/>
    </xf>
    <xf numFmtId="0" fontId="6" fillId="7" borderId="25" xfId="3" applyFont="1" applyFill="1" applyBorder="1" applyAlignment="1" applyProtection="1">
      <alignment horizontal="right" vertical="center" indent="2"/>
      <protection locked="0"/>
    </xf>
    <xf numFmtId="0" fontId="6" fillId="7" borderId="106" xfId="3" applyFont="1" applyFill="1" applyBorder="1" applyAlignment="1" applyProtection="1">
      <alignment horizontal="right" vertical="center" indent="2"/>
      <protection locked="0"/>
    </xf>
    <xf numFmtId="0" fontId="6" fillId="7" borderId="107" xfId="3" applyFont="1" applyFill="1" applyBorder="1" applyAlignment="1" applyProtection="1">
      <alignment horizontal="right" vertical="center" indent="2"/>
      <protection locked="0"/>
    </xf>
    <xf numFmtId="0" fontId="6" fillId="7" borderId="108" xfId="3" applyFont="1" applyFill="1" applyBorder="1" applyAlignment="1" applyProtection="1">
      <alignment horizontal="right" vertical="center" indent="2"/>
      <protection locked="0"/>
    </xf>
    <xf numFmtId="0" fontId="6" fillId="7" borderId="95" xfId="3" applyFont="1" applyFill="1" applyBorder="1" applyAlignment="1" applyProtection="1">
      <alignment horizontal="right" vertical="center"/>
      <protection locked="0"/>
    </xf>
    <xf numFmtId="0" fontId="6" fillId="7" borderId="96" xfId="3" applyFont="1" applyFill="1" applyBorder="1" applyAlignment="1" applyProtection="1">
      <alignment horizontal="right" vertical="center"/>
      <protection locked="0"/>
    </xf>
    <xf numFmtId="0" fontId="6" fillId="7" borderId="94" xfId="3" applyFont="1" applyFill="1" applyBorder="1" applyAlignment="1" applyProtection="1">
      <alignment horizontal="right" vertical="center"/>
      <protection locked="0"/>
    </xf>
    <xf numFmtId="0" fontId="6" fillId="7" borderId="97" xfId="3" applyFont="1" applyFill="1" applyBorder="1" applyAlignment="1" applyProtection="1">
      <alignment horizontal="right" vertical="center" indent="2"/>
      <protection locked="0"/>
    </xf>
    <xf numFmtId="0" fontId="6" fillId="7" borderId="98" xfId="3" applyFont="1" applyFill="1" applyBorder="1" applyAlignment="1" applyProtection="1">
      <alignment horizontal="right" vertical="center" indent="2"/>
      <protection locked="0"/>
    </xf>
    <xf numFmtId="0" fontId="6" fillId="7" borderId="99" xfId="3" applyFont="1" applyFill="1" applyBorder="1" applyAlignment="1" applyProtection="1">
      <alignment horizontal="right" vertical="center" indent="2"/>
      <protection locked="0"/>
    </xf>
    <xf numFmtId="0" fontId="6" fillId="7" borderId="101" xfId="3" applyFont="1" applyFill="1" applyBorder="1" applyAlignment="1" applyProtection="1">
      <alignment horizontal="right" vertical="center"/>
      <protection locked="0"/>
    </xf>
    <xf numFmtId="0" fontId="6" fillId="7" borderId="103" xfId="3" applyFont="1" applyFill="1" applyBorder="1" applyAlignment="1" applyProtection="1">
      <alignment horizontal="right" vertical="center" indent="2"/>
      <protection locked="0"/>
    </xf>
    <xf numFmtId="0" fontId="6" fillId="7" borderId="102" xfId="3" applyFont="1" applyFill="1" applyBorder="1" applyAlignment="1" applyProtection="1">
      <alignment horizontal="right" vertical="center" indent="2"/>
      <protection locked="0"/>
    </xf>
    <xf numFmtId="0" fontId="6" fillId="7" borderId="101" xfId="3" applyFont="1" applyFill="1" applyBorder="1" applyAlignment="1" applyProtection="1">
      <alignment horizontal="right" vertical="center" indent="2"/>
      <protection locked="0"/>
    </xf>
    <xf numFmtId="0" fontId="0" fillId="0" borderId="116" xfId="0" applyBorder="1" applyAlignment="1">
      <alignment horizontal="right" vertical="center"/>
    </xf>
    <xf numFmtId="0" fontId="0" fillId="0" borderId="117" xfId="0" applyBorder="1" applyAlignment="1">
      <alignment horizontal="right" vertical="center"/>
    </xf>
    <xf numFmtId="0" fontId="0" fillId="0" borderId="30" xfId="0" applyBorder="1" applyAlignment="1">
      <alignment horizontal="right" vertical="center"/>
    </xf>
    <xf numFmtId="0" fontId="0" fillId="0" borderId="25" xfId="0" applyBorder="1" applyAlignment="1">
      <alignment horizontal="right" vertical="center"/>
    </xf>
    <xf numFmtId="0" fontId="6" fillId="7" borderId="53" xfId="3" applyFont="1" applyFill="1" applyBorder="1" applyAlignment="1" applyProtection="1">
      <alignment horizontal="right" vertical="center" indent="2"/>
      <protection locked="0"/>
    </xf>
    <xf numFmtId="0" fontId="6" fillId="7" borderId="54" xfId="3" applyFont="1" applyFill="1" applyBorder="1" applyAlignment="1" applyProtection="1">
      <alignment horizontal="right" vertical="center" indent="2"/>
      <protection locked="0"/>
    </xf>
    <xf numFmtId="0" fontId="6" fillId="7" borderId="55" xfId="3" applyFont="1" applyFill="1" applyBorder="1" applyAlignment="1" applyProtection="1">
      <alignment horizontal="right" vertical="center" indent="2"/>
      <protection locked="0"/>
    </xf>
    <xf numFmtId="0" fontId="0" fillId="0" borderId="118" xfId="0" applyBorder="1" applyAlignment="1">
      <alignment horizontal="right" vertical="center"/>
    </xf>
    <xf numFmtId="0" fontId="0" fillId="0" borderId="119" xfId="0" applyBorder="1" applyAlignment="1">
      <alignment horizontal="right" vertical="center"/>
    </xf>
    <xf numFmtId="0" fontId="6" fillId="7" borderId="23" xfId="3" applyFont="1" applyFill="1" applyBorder="1" applyAlignment="1" applyProtection="1">
      <alignment horizontal="right" vertical="center" indent="2"/>
      <protection locked="0"/>
    </xf>
    <xf numFmtId="0" fontId="6" fillId="7" borderId="38" xfId="3" applyFont="1" applyFill="1" applyBorder="1" applyAlignment="1" applyProtection="1">
      <alignment horizontal="right" vertical="center" indent="2"/>
      <protection locked="0"/>
    </xf>
    <xf numFmtId="0" fontId="6" fillId="7" borderId="24" xfId="3" applyFont="1" applyFill="1" applyBorder="1" applyAlignment="1" applyProtection="1">
      <alignment horizontal="right" vertical="center" indent="2"/>
      <protection locked="0"/>
    </xf>
    <xf numFmtId="0" fontId="6" fillId="7" borderId="48" xfId="3" applyFont="1" applyFill="1" applyBorder="1" applyAlignment="1" applyProtection="1">
      <alignment horizontal="left" vertical="center" wrapText="1" indent="2"/>
      <protection locked="0"/>
    </xf>
    <xf numFmtId="0" fontId="6" fillId="7" borderId="46" xfId="3" applyFont="1" applyFill="1" applyBorder="1" applyAlignment="1" applyProtection="1">
      <alignment horizontal="left" vertical="center" wrapText="1" indent="2"/>
      <protection locked="0"/>
    </xf>
    <xf numFmtId="0" fontId="6" fillId="7" borderId="45" xfId="3" applyFont="1" applyFill="1" applyBorder="1" applyAlignment="1" applyProtection="1">
      <alignment horizontal="left" vertical="center" wrapText="1" indent="2"/>
      <protection locked="0"/>
    </xf>
    <xf numFmtId="0" fontId="6" fillId="7" borderId="46" xfId="3" applyFont="1" applyFill="1" applyBorder="1" applyAlignment="1" applyProtection="1">
      <alignment horizontal="right" vertical="center" wrapText="1"/>
      <protection locked="0"/>
    </xf>
    <xf numFmtId="0" fontId="6" fillId="7" borderId="47" xfId="3" applyFont="1" applyFill="1" applyBorder="1" applyAlignment="1" applyProtection="1">
      <alignment horizontal="right" vertical="center" wrapText="1"/>
      <protection locked="0"/>
    </xf>
    <xf numFmtId="0" fontId="6" fillId="7" borderId="49" xfId="3" applyFont="1" applyFill="1" applyBorder="1" applyAlignment="1" applyProtection="1">
      <alignment horizontal="right" vertical="center" wrapText="1"/>
      <protection locked="0"/>
    </xf>
    <xf numFmtId="0" fontId="6" fillId="7" borderId="46" xfId="3" applyFont="1" applyFill="1" applyBorder="1" applyAlignment="1" applyProtection="1">
      <alignment horizontal="left" vertical="center" wrapText="1"/>
      <protection locked="0"/>
    </xf>
    <xf numFmtId="0" fontId="6" fillId="7" borderId="47" xfId="3" applyFont="1" applyFill="1" applyBorder="1" applyAlignment="1" applyProtection="1">
      <alignment horizontal="left" vertical="center" wrapText="1"/>
      <protection locked="0"/>
    </xf>
    <xf numFmtId="0" fontId="6" fillId="7" borderId="49" xfId="3" applyFont="1" applyFill="1" applyBorder="1" applyAlignment="1" applyProtection="1">
      <alignment horizontal="left" vertical="center" wrapText="1"/>
      <protection locked="0"/>
    </xf>
    <xf numFmtId="0" fontId="6" fillId="7" borderId="41" xfId="3" applyFont="1" applyFill="1" applyBorder="1" applyAlignment="1" applyProtection="1">
      <alignment horizontal="left" vertical="center" wrapText="1"/>
      <protection locked="0"/>
    </xf>
    <xf numFmtId="0" fontId="6" fillId="7" borderId="48" xfId="3" applyFont="1" applyFill="1" applyBorder="1" applyAlignment="1" applyProtection="1">
      <alignment horizontal="left" vertical="center" wrapText="1"/>
      <protection locked="0"/>
    </xf>
    <xf numFmtId="0" fontId="6" fillId="7" borderId="45" xfId="3" applyFont="1" applyFill="1" applyBorder="1" applyAlignment="1" applyProtection="1">
      <alignment horizontal="left" vertical="center" wrapText="1"/>
      <protection locked="0"/>
    </xf>
    <xf numFmtId="0" fontId="6" fillId="7" borderId="44" xfId="3" applyFont="1" applyFill="1" applyBorder="1" applyAlignment="1" applyProtection="1">
      <alignment horizontal="left" vertical="center" wrapText="1" indent="2"/>
      <protection locked="0"/>
    </xf>
    <xf numFmtId="0" fontId="6" fillId="7" borderId="105" xfId="3" applyFont="1" applyFill="1" applyBorder="1" applyAlignment="1" applyProtection="1">
      <alignment horizontal="left" vertical="center" wrapText="1" indent="2"/>
      <protection locked="0"/>
    </xf>
    <xf numFmtId="0" fontId="6" fillId="7" borderId="100" xfId="3" applyFont="1" applyFill="1" applyBorder="1" applyAlignment="1" applyProtection="1">
      <alignment horizontal="left" vertical="center" wrapText="1" indent="2"/>
      <protection locked="0"/>
    </xf>
    <xf numFmtId="0" fontId="6" fillId="7" borderId="104" xfId="3" applyFont="1" applyFill="1" applyBorder="1" applyAlignment="1" applyProtection="1">
      <alignment horizontal="left" vertical="center" wrapText="1" indent="2"/>
      <protection locked="0"/>
    </xf>
    <xf numFmtId="0" fontId="6" fillId="7" borderId="47" xfId="3" applyFont="1" applyFill="1" applyBorder="1" applyAlignment="1" applyProtection="1">
      <alignment horizontal="left" vertical="center" wrapText="1" indent="2"/>
      <protection locked="0"/>
    </xf>
    <xf numFmtId="1" fontId="6" fillId="7" borderId="36" xfId="3" applyNumberFormat="1" applyFont="1" applyFill="1" applyBorder="1" applyAlignment="1" applyProtection="1">
      <alignment horizontal="right" vertical="center"/>
      <protection locked="0"/>
    </xf>
    <xf numFmtId="1" fontId="6" fillId="7" borderId="37" xfId="3" applyNumberFormat="1" applyFont="1" applyFill="1" applyBorder="1" applyAlignment="1" applyProtection="1">
      <alignment horizontal="right" vertical="center" indent="2"/>
      <protection locked="0"/>
    </xf>
    <xf numFmtId="1" fontId="6" fillId="7" borderId="37" xfId="3" applyNumberFormat="1" applyFont="1" applyFill="1" applyBorder="1" applyAlignment="1" applyProtection="1">
      <alignment horizontal="right" vertical="center"/>
      <protection locked="0"/>
    </xf>
    <xf numFmtId="164" fontId="6" fillId="7" borderId="37" xfId="3" applyNumberFormat="1" applyFont="1" applyFill="1" applyBorder="1" applyAlignment="1" applyProtection="1">
      <alignment horizontal="right" vertical="center"/>
      <protection locked="0"/>
    </xf>
    <xf numFmtId="1" fontId="6" fillId="7" borderId="20" xfId="3" applyNumberFormat="1" applyFont="1" applyFill="1" applyBorder="1" applyAlignment="1" applyProtection="1">
      <alignment horizontal="right" vertical="center"/>
      <protection locked="0"/>
    </xf>
    <xf numFmtId="3" fontId="6" fillId="7" borderId="37" xfId="3" applyNumberFormat="1" applyFont="1" applyFill="1" applyBorder="1" applyAlignment="1" applyProtection="1">
      <alignment horizontal="right" vertical="center"/>
      <protection locked="0"/>
    </xf>
    <xf numFmtId="164" fontId="6" fillId="7" borderId="20" xfId="3" applyNumberFormat="1" applyFont="1" applyFill="1" applyBorder="1" applyAlignment="1" applyProtection="1">
      <alignment horizontal="right" vertical="center"/>
      <protection locked="0"/>
    </xf>
    <xf numFmtId="164" fontId="6" fillId="7" borderId="23" xfId="3" applyNumberFormat="1" applyFont="1" applyFill="1" applyBorder="1" applyAlignment="1" applyProtection="1">
      <alignment horizontal="right" vertical="center"/>
      <protection locked="0"/>
    </xf>
    <xf numFmtId="164" fontId="6" fillId="7" borderId="38" xfId="3" applyNumberFormat="1" applyFont="1" applyFill="1" applyBorder="1" applyAlignment="1" applyProtection="1">
      <alignment horizontal="right" vertical="center"/>
      <protection locked="0"/>
    </xf>
    <xf numFmtId="2" fontId="6" fillId="7" borderId="20" xfId="3" applyNumberFormat="1" applyFont="1" applyFill="1" applyBorder="1" applyAlignment="1" applyProtection="1">
      <alignment horizontal="right" vertical="center"/>
      <protection locked="0"/>
    </xf>
    <xf numFmtId="2" fontId="6" fillId="7" borderId="37" xfId="3" applyNumberFormat="1" applyFont="1" applyFill="1" applyBorder="1" applyAlignment="1" applyProtection="1">
      <alignment horizontal="right" vertical="center"/>
      <protection locked="0"/>
    </xf>
    <xf numFmtId="0" fontId="6" fillId="7" borderId="46" xfId="3" applyFont="1" applyFill="1" applyBorder="1" applyAlignment="1" applyProtection="1">
      <alignment horizontal="left" vertical="center" indent="2"/>
      <protection locked="0"/>
    </xf>
    <xf numFmtId="164" fontId="6" fillId="7" borderId="27" xfId="3" applyNumberFormat="1" applyFont="1" applyFill="1" applyBorder="1" applyAlignment="1" applyProtection="1">
      <alignment horizontal="right" vertical="center"/>
      <protection locked="0"/>
    </xf>
    <xf numFmtId="164" fontId="6" fillId="7" borderId="40" xfId="3" applyNumberFormat="1" applyFont="1" applyFill="1" applyBorder="1" applyAlignment="1" applyProtection="1">
      <alignment horizontal="right" vertical="center"/>
      <protection locked="0"/>
    </xf>
    <xf numFmtId="0" fontId="6" fillId="7" borderId="45" xfId="3" applyFont="1" applyFill="1" applyBorder="1" applyAlignment="1" applyProtection="1">
      <alignment horizontal="left" vertical="center" indent="2"/>
      <protection locked="0"/>
    </xf>
    <xf numFmtId="2" fontId="6" fillId="7" borderId="21" xfId="3" applyNumberFormat="1" applyFont="1" applyFill="1" applyBorder="1" applyAlignment="1" applyProtection="1">
      <alignment horizontal="right" vertical="center"/>
      <protection locked="0"/>
    </xf>
    <xf numFmtId="0" fontId="8" fillId="0" borderId="76" xfId="0" applyFont="1" applyBorder="1" applyAlignment="1">
      <alignment horizontal="center" vertical="center" wrapText="1"/>
    </xf>
    <xf numFmtId="0" fontId="8" fillId="0" borderId="72" xfId="0" applyFont="1" applyBorder="1" applyAlignment="1">
      <alignment horizontal="center" vertical="center" wrapText="1"/>
    </xf>
    <xf numFmtId="0" fontId="8" fillId="0" borderId="77" xfId="0" applyFont="1" applyBorder="1" applyAlignment="1">
      <alignment horizontal="center" vertical="center" wrapText="1"/>
    </xf>
    <xf numFmtId="0" fontId="8" fillId="0" borderId="67" xfId="0" applyFont="1" applyBorder="1" applyAlignment="1">
      <alignment horizontal="center" vertical="center" wrapText="1"/>
    </xf>
    <xf numFmtId="0" fontId="8" fillId="0" borderId="68" xfId="0" applyFont="1" applyBorder="1" applyAlignment="1">
      <alignment horizontal="center" vertical="center" wrapText="1"/>
    </xf>
    <xf numFmtId="0" fontId="8" fillId="0" borderId="69" xfId="0" applyFont="1" applyBorder="1" applyAlignment="1">
      <alignment horizontal="center" vertical="center" wrapText="1"/>
    </xf>
    <xf numFmtId="0" fontId="8" fillId="0" borderId="78" xfId="0" applyFont="1" applyBorder="1" applyAlignment="1">
      <alignment horizontal="center" vertical="center" wrapText="1"/>
    </xf>
    <xf numFmtId="0" fontId="8" fillId="0" borderId="70" xfId="0" applyFont="1" applyBorder="1" applyAlignment="1">
      <alignment horizontal="center" vertical="center" wrapText="1"/>
    </xf>
    <xf numFmtId="0" fontId="8" fillId="0" borderId="73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8" fillId="0" borderId="69" xfId="0" applyFont="1" applyBorder="1" applyAlignment="1">
      <alignment horizontal="center" vertical="center"/>
    </xf>
    <xf numFmtId="0" fontId="8" fillId="0" borderId="68" xfId="0" applyFont="1" applyBorder="1" applyAlignment="1">
      <alignment horizontal="center" vertical="center"/>
    </xf>
    <xf numFmtId="0" fontId="8" fillId="0" borderId="72" xfId="0" applyFont="1" applyBorder="1" applyAlignment="1">
      <alignment horizontal="center" vertical="center"/>
    </xf>
    <xf numFmtId="0" fontId="8" fillId="0" borderId="67" xfId="0" applyFont="1" applyBorder="1" applyAlignment="1">
      <alignment horizontal="center" vertical="center"/>
    </xf>
    <xf numFmtId="0" fontId="8" fillId="0" borderId="77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8" fillId="0" borderId="75" xfId="0" applyFont="1" applyBorder="1" applyAlignment="1">
      <alignment horizontal="center" vertical="center" wrapText="1"/>
    </xf>
    <xf numFmtId="0" fontId="6" fillId="0" borderId="71" xfId="0" applyFont="1" applyBorder="1" applyAlignment="1">
      <alignment horizontal="center" vertical="center" wrapText="1"/>
    </xf>
    <xf numFmtId="0" fontId="6" fillId="0" borderId="72" xfId="0" applyFont="1" applyBorder="1" applyAlignment="1">
      <alignment horizontal="center" vertical="center" wrapText="1"/>
    </xf>
    <xf numFmtId="0" fontId="6" fillId="0" borderId="73" xfId="0" applyFont="1" applyBorder="1" applyAlignment="1">
      <alignment horizontal="center" vertical="center" wrapText="1"/>
    </xf>
    <xf numFmtId="0" fontId="8" fillId="0" borderId="69" xfId="0" quotePrefix="1" applyFont="1" applyBorder="1" applyAlignment="1">
      <alignment horizontal="center" vertical="center" wrapText="1"/>
    </xf>
    <xf numFmtId="0" fontId="8" fillId="0" borderId="67" xfId="0" quotePrefix="1" applyFont="1" applyBorder="1" applyAlignment="1">
      <alignment horizontal="center" vertical="center" wrapText="1"/>
    </xf>
    <xf numFmtId="0" fontId="8" fillId="0" borderId="68" xfId="0" quotePrefix="1" applyFont="1" applyBorder="1" applyAlignment="1">
      <alignment horizontal="center" vertical="center" wrapText="1"/>
    </xf>
    <xf numFmtId="0" fontId="6" fillId="0" borderId="69" xfId="0" quotePrefix="1" applyFont="1" applyBorder="1" applyAlignment="1">
      <alignment horizontal="center" vertical="center" wrapText="1"/>
    </xf>
    <xf numFmtId="0" fontId="6" fillId="0" borderId="67" xfId="0" applyFont="1" applyBorder="1" applyAlignment="1">
      <alignment horizontal="center" vertical="center" wrapText="1"/>
    </xf>
    <xf numFmtId="0" fontId="6" fillId="0" borderId="68" xfId="0" applyFont="1" applyBorder="1" applyAlignment="1">
      <alignment horizontal="center" vertical="center" wrapText="1"/>
    </xf>
    <xf numFmtId="0" fontId="6" fillId="0" borderId="67" xfId="0" quotePrefix="1" applyFont="1" applyBorder="1" applyAlignment="1">
      <alignment horizontal="center" vertical="center" wrapText="1"/>
    </xf>
    <xf numFmtId="0" fontId="7" fillId="4" borderId="63" xfId="0" applyFont="1" applyFill="1" applyBorder="1" applyAlignment="1">
      <alignment horizontal="center" vertical="center" wrapText="1"/>
    </xf>
    <xf numFmtId="0" fontId="6" fillId="0" borderId="66" xfId="0" quotePrefix="1" applyFont="1" applyBorder="1" applyAlignment="1">
      <alignment horizontal="center" vertical="center" wrapText="1"/>
    </xf>
    <xf numFmtId="0" fontId="6" fillId="0" borderId="68" xfId="0" quotePrefix="1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top" wrapText="1"/>
    </xf>
    <xf numFmtId="0" fontId="6" fillId="0" borderId="2" xfId="0" applyFont="1" applyBorder="1" applyAlignment="1">
      <alignment horizontal="center" vertical="top" wrapText="1"/>
    </xf>
    <xf numFmtId="0" fontId="6" fillId="0" borderId="3" xfId="0" applyFont="1" applyBorder="1" applyAlignment="1">
      <alignment horizontal="center" vertical="top" wrapText="1"/>
    </xf>
    <xf numFmtId="0" fontId="6" fillId="0" borderId="7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0" fillId="0" borderId="7" xfId="0" applyBorder="1" applyAlignment="1">
      <alignment horizontal="center"/>
    </xf>
    <xf numFmtId="0" fontId="0" fillId="0" borderId="0" xfId="0" applyAlignment="1">
      <alignment horizontal="center"/>
    </xf>
    <xf numFmtId="0" fontId="6" fillId="0" borderId="7" xfId="0" applyFont="1" applyBorder="1" applyAlignment="1">
      <alignment horizontal="center" vertical="top" wrapText="1"/>
    </xf>
    <xf numFmtId="0" fontId="6" fillId="0" borderId="0" xfId="0" applyFont="1" applyAlignment="1">
      <alignment horizontal="center" vertical="top" wrapText="1"/>
    </xf>
    <xf numFmtId="0" fontId="6" fillId="0" borderId="8" xfId="0" applyFont="1" applyBorder="1" applyAlignment="1">
      <alignment horizontal="center" vertical="top" wrapText="1"/>
    </xf>
    <xf numFmtId="0" fontId="6" fillId="0" borderId="4" xfId="0" applyFont="1" applyBorder="1" applyAlignment="1">
      <alignment horizontal="center" vertical="top" wrapText="1"/>
    </xf>
    <xf numFmtId="0" fontId="6" fillId="0" borderId="5" xfId="0" applyFont="1" applyBorder="1" applyAlignment="1">
      <alignment horizontal="center" vertical="top" wrapText="1"/>
    </xf>
    <xf numFmtId="0" fontId="6" fillId="0" borderId="4" xfId="0" applyFont="1" applyBorder="1" applyAlignment="1">
      <alignment horizontal="center" vertical="center" wrapText="1"/>
    </xf>
    <xf numFmtId="0" fontId="4" fillId="6" borderId="0" xfId="0" applyFont="1" applyFill="1" applyAlignment="1">
      <alignment horizontal="center" vertical="top"/>
    </xf>
    <xf numFmtId="0" fontId="17" fillId="0" borderId="9" xfId="0" applyFont="1" applyBorder="1" applyAlignment="1" applyProtection="1">
      <alignment horizontal="left" vertical="center" indent="1"/>
      <protection locked="0"/>
    </xf>
    <xf numFmtId="0" fontId="17" fillId="0" borderId="10" xfId="0" applyFont="1" applyBorder="1" applyAlignment="1" applyProtection="1">
      <alignment horizontal="left" vertical="center" indent="1"/>
      <protection locked="0"/>
    </xf>
    <xf numFmtId="0" fontId="17" fillId="0" borderId="11" xfId="0" applyFont="1" applyBorder="1" applyAlignment="1" applyProtection="1">
      <alignment horizontal="left" vertical="center" indent="1"/>
      <protection locked="0"/>
    </xf>
    <xf numFmtId="0" fontId="22" fillId="5" borderId="0" xfId="0" applyFont="1" applyFill="1" applyAlignment="1">
      <alignment horizontal="center" vertical="top"/>
    </xf>
    <xf numFmtId="0" fontId="6" fillId="0" borderId="81" xfId="0" applyFont="1" applyBorder="1" applyAlignment="1">
      <alignment horizontal="center" vertical="top" wrapText="1"/>
    </xf>
    <xf numFmtId="0" fontId="6" fillId="0" borderId="6" xfId="0" applyFont="1" applyBorder="1" applyAlignment="1">
      <alignment horizontal="center" vertical="top" wrapText="1"/>
    </xf>
    <xf numFmtId="0" fontId="8" fillId="0" borderId="83" xfId="0" applyFont="1" applyBorder="1" applyAlignment="1">
      <alignment horizontal="center" vertical="center" wrapText="1"/>
    </xf>
    <xf numFmtId="0" fontId="8" fillId="0" borderId="85" xfId="0" applyFont="1" applyBorder="1" applyAlignment="1">
      <alignment horizontal="center" vertical="center" wrapText="1"/>
    </xf>
    <xf numFmtId="0" fontId="8" fillId="0" borderId="87" xfId="0" applyFont="1" applyBorder="1" applyAlignment="1">
      <alignment horizontal="center" vertical="center" wrapText="1"/>
    </xf>
    <xf numFmtId="0" fontId="8" fillId="0" borderId="86" xfId="0" applyFont="1" applyBorder="1" applyAlignment="1">
      <alignment horizontal="center" vertical="center" wrapText="1"/>
    </xf>
    <xf numFmtId="0" fontId="8" fillId="0" borderId="88" xfId="0" applyFont="1" applyBorder="1" applyAlignment="1">
      <alignment horizontal="center" vertical="center" wrapText="1"/>
    </xf>
    <xf numFmtId="0" fontId="8" fillId="0" borderId="89" xfId="0" applyFont="1" applyBorder="1" applyAlignment="1">
      <alignment horizontal="center" vertical="center" wrapText="1"/>
    </xf>
    <xf numFmtId="0" fontId="8" fillId="0" borderId="8" xfId="0" applyFont="1" applyBorder="1" applyAlignment="1">
      <alignment horizontal="center" vertical="center" wrapText="1"/>
    </xf>
    <xf numFmtId="0" fontId="8" fillId="0" borderId="90" xfId="0" applyFont="1" applyBorder="1" applyAlignment="1">
      <alignment horizontal="center" vertical="center" wrapText="1"/>
    </xf>
    <xf numFmtId="0" fontId="6" fillId="0" borderId="82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86" xfId="0" applyFont="1" applyBorder="1" applyAlignment="1">
      <alignment horizontal="center" vertical="center" wrapText="1"/>
    </xf>
    <xf numFmtId="0" fontId="6" fillId="0" borderId="85" xfId="0" applyFont="1" applyBorder="1" applyAlignment="1">
      <alignment horizontal="center" vertical="center" wrapText="1"/>
    </xf>
    <xf numFmtId="0" fontId="0" fillId="0" borderId="35" xfId="0" applyBorder="1" applyAlignment="1">
      <alignment horizontal="center"/>
    </xf>
    <xf numFmtId="0" fontId="0" fillId="0" borderId="8" xfId="0" applyBorder="1" applyAlignment="1">
      <alignment horizontal="center"/>
    </xf>
    <xf numFmtId="0" fontId="8" fillId="0" borderId="109" xfId="0" applyFont="1" applyBorder="1" applyAlignment="1">
      <alignment horizontal="center" vertical="center"/>
    </xf>
    <xf numFmtId="0" fontId="8" fillId="0" borderId="62" xfId="0" applyFont="1" applyBorder="1" applyAlignment="1">
      <alignment horizontal="center" vertical="center"/>
    </xf>
    <xf numFmtId="0" fontId="21" fillId="0" borderId="67" xfId="0" applyFont="1" applyBorder="1" applyAlignment="1">
      <alignment horizontal="center" vertical="center"/>
    </xf>
  </cellXfs>
  <cellStyles count="5">
    <cellStyle name="20 % - Accent6" xfId="3" builtinId="50"/>
    <cellStyle name="Accent5" xfId="2" builtinId="45"/>
    <cellStyle name="Lien hypertexte" xfId="4" builtinId="8"/>
    <cellStyle name="Normal" xfId="0" builtinId="0"/>
    <cellStyle name="Titre" xfId="1" builtinId="15"/>
  </cellStyles>
  <dxfs count="0"/>
  <tableStyles count="0" defaultTableStyle="TableStyleMedium2" defaultPivotStyle="PivotStyleLight16"/>
  <colors>
    <mruColors>
      <color rgb="FF765A00"/>
      <color rgb="FF261D00"/>
      <color rgb="FFFF0066"/>
      <color rgb="FFFF33CC"/>
      <color rgb="FF009999"/>
      <color rgb="FFD60093"/>
      <color rgb="FFE2EFDA"/>
      <color rgb="FF099B3A"/>
      <color rgb="FF033F0C"/>
      <color rgb="FFFCE8C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4.png"/><Relationship Id="rId13" Type="http://schemas.openxmlformats.org/officeDocument/2006/relationships/hyperlink" Target="#'Aspiration 1'!A1"/><Relationship Id="rId3" Type="http://schemas.openxmlformats.org/officeDocument/2006/relationships/hyperlink" Target="#'Aspiration 3'!A1"/><Relationship Id="rId7" Type="http://schemas.openxmlformats.org/officeDocument/2006/relationships/hyperlink" Target="#'Aspiration 5'!A1"/><Relationship Id="rId12" Type="http://schemas.openxmlformats.org/officeDocument/2006/relationships/image" Target="../media/image6.png"/><Relationship Id="rId2" Type="http://schemas.openxmlformats.org/officeDocument/2006/relationships/image" Target="../media/image1.png"/><Relationship Id="rId1" Type="http://schemas.openxmlformats.org/officeDocument/2006/relationships/hyperlink" Target="#'Aspiration 2'!A1"/><Relationship Id="rId6" Type="http://schemas.openxmlformats.org/officeDocument/2006/relationships/image" Target="../media/image3.png"/><Relationship Id="rId11" Type="http://schemas.openxmlformats.org/officeDocument/2006/relationships/hyperlink" Target="#'Aspiration 7'!A1"/><Relationship Id="rId5" Type="http://schemas.openxmlformats.org/officeDocument/2006/relationships/hyperlink" Target="#'Aspiration 4'!A1"/><Relationship Id="rId10" Type="http://schemas.openxmlformats.org/officeDocument/2006/relationships/image" Target="../media/image5.png"/><Relationship Id="rId4" Type="http://schemas.openxmlformats.org/officeDocument/2006/relationships/image" Target="../media/image2.png"/><Relationship Id="rId9" Type="http://schemas.openxmlformats.org/officeDocument/2006/relationships/hyperlink" Target="#'Aspiration 6'!A1"/><Relationship Id="rId14" Type="http://schemas.openxmlformats.org/officeDocument/2006/relationships/image" Target="../media/image7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15.png"/><Relationship Id="rId3" Type="http://schemas.openxmlformats.org/officeDocument/2006/relationships/image" Target="../media/image10.png"/><Relationship Id="rId7" Type="http://schemas.openxmlformats.org/officeDocument/2006/relationships/image" Target="../media/image14.png"/><Relationship Id="rId2" Type="http://schemas.openxmlformats.org/officeDocument/2006/relationships/image" Target="../media/image9.png"/><Relationship Id="rId1" Type="http://schemas.openxmlformats.org/officeDocument/2006/relationships/image" Target="../media/image8.png"/><Relationship Id="rId6" Type="http://schemas.openxmlformats.org/officeDocument/2006/relationships/image" Target="../media/image13.png"/><Relationship Id="rId5" Type="http://schemas.openxmlformats.org/officeDocument/2006/relationships/image" Target="../media/image12.png"/><Relationship Id="rId4" Type="http://schemas.openxmlformats.org/officeDocument/2006/relationships/image" Target="../media/image1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7.png"/><Relationship Id="rId1" Type="http://schemas.openxmlformats.org/officeDocument/2006/relationships/image" Target="../media/image16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20.png"/><Relationship Id="rId2" Type="http://schemas.openxmlformats.org/officeDocument/2006/relationships/image" Target="../media/image19.png"/><Relationship Id="rId1" Type="http://schemas.openxmlformats.org/officeDocument/2006/relationships/image" Target="../media/image18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23.png"/><Relationship Id="rId2" Type="http://schemas.openxmlformats.org/officeDocument/2006/relationships/image" Target="../media/image22.png"/><Relationship Id="rId1" Type="http://schemas.openxmlformats.org/officeDocument/2006/relationships/image" Target="../media/image21.png"/><Relationship Id="rId4" Type="http://schemas.openxmlformats.org/officeDocument/2006/relationships/image" Target="../media/image24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6.png"/><Relationship Id="rId1" Type="http://schemas.openxmlformats.org/officeDocument/2006/relationships/image" Target="../media/image25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29.png"/><Relationship Id="rId2" Type="http://schemas.openxmlformats.org/officeDocument/2006/relationships/image" Target="../media/image28.png"/><Relationship Id="rId1" Type="http://schemas.openxmlformats.org/officeDocument/2006/relationships/image" Target="../media/image27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2.png"/><Relationship Id="rId2" Type="http://schemas.openxmlformats.org/officeDocument/2006/relationships/image" Target="../media/image31.png"/><Relationship Id="rId1" Type="http://schemas.openxmlformats.org/officeDocument/2006/relationships/image" Target="../media/image30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0</xdr:colOff>
      <xdr:row>6</xdr:row>
      <xdr:rowOff>0</xdr:rowOff>
    </xdr:from>
    <xdr:to>
      <xdr:col>13</xdr:col>
      <xdr:colOff>0</xdr:colOff>
      <xdr:row>12</xdr:row>
      <xdr:rowOff>0</xdr:rowOff>
    </xdr:to>
    <xdr:pic>
      <xdr:nvPicPr>
        <xdr:cNvPr id="3" name="Image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334000" y="762000"/>
          <a:ext cx="3810000" cy="11430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14</xdr:row>
      <xdr:rowOff>1</xdr:rowOff>
    </xdr:from>
    <xdr:to>
      <xdr:col>7</xdr:col>
      <xdr:colOff>0</xdr:colOff>
      <xdr:row>20</xdr:row>
      <xdr:rowOff>28577</xdr:rowOff>
    </xdr:to>
    <xdr:pic>
      <xdr:nvPicPr>
        <xdr:cNvPr id="4" name="Image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62000" y="2286001"/>
          <a:ext cx="3810000" cy="1171576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14</xdr:row>
      <xdr:rowOff>0</xdr:rowOff>
    </xdr:from>
    <xdr:to>
      <xdr:col>13</xdr:col>
      <xdr:colOff>0</xdr:colOff>
      <xdr:row>20</xdr:row>
      <xdr:rowOff>0</xdr:rowOff>
    </xdr:to>
    <xdr:pic>
      <xdr:nvPicPr>
        <xdr:cNvPr id="5" name="Image 4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895850" y="2286000"/>
          <a:ext cx="3810000" cy="11430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7</xdr:col>
      <xdr:colOff>0</xdr:colOff>
      <xdr:row>28</xdr:row>
      <xdr:rowOff>0</xdr:rowOff>
    </xdr:to>
    <xdr:pic>
      <xdr:nvPicPr>
        <xdr:cNvPr id="6" name="Image 5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762000" y="3810000"/>
          <a:ext cx="3810000" cy="1143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21</xdr:row>
      <xdr:rowOff>190499</xdr:rowOff>
    </xdr:from>
    <xdr:to>
      <xdr:col>13</xdr:col>
      <xdr:colOff>0</xdr:colOff>
      <xdr:row>28</xdr:row>
      <xdr:rowOff>0</xdr:rowOff>
    </xdr:to>
    <xdr:pic>
      <xdr:nvPicPr>
        <xdr:cNvPr id="8" name="Image 7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4895850" y="3809999"/>
          <a:ext cx="3810000" cy="1143001"/>
        </a:xfrm>
        <a:prstGeom prst="rect">
          <a:avLst/>
        </a:prstGeom>
      </xdr:spPr>
    </xdr:pic>
    <xdr:clientData/>
  </xdr:twoCellAnchor>
  <xdr:twoCellAnchor editAs="oneCell">
    <xdr:from>
      <xdr:col>4</xdr:col>
      <xdr:colOff>542925</xdr:colOff>
      <xdr:row>30</xdr:row>
      <xdr:rowOff>9525</xdr:rowOff>
    </xdr:from>
    <xdr:to>
      <xdr:col>10</xdr:col>
      <xdr:colOff>219075</xdr:colOff>
      <xdr:row>36</xdr:row>
      <xdr:rowOff>9525</xdr:rowOff>
    </xdr:to>
    <xdr:pic>
      <xdr:nvPicPr>
        <xdr:cNvPr id="9" name="Image 8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2828925" y="5343525"/>
          <a:ext cx="3810000" cy="11430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6</xdr:row>
      <xdr:rowOff>9667</xdr:rowOff>
    </xdr:from>
    <xdr:to>
      <xdr:col>7</xdr:col>
      <xdr:colOff>0</xdr:colOff>
      <xdr:row>12</xdr:row>
      <xdr:rowOff>0</xdr:rowOff>
    </xdr:to>
    <xdr:pic>
      <xdr:nvPicPr>
        <xdr:cNvPr id="10" name="Image 9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762000" y="771667"/>
          <a:ext cx="3810000" cy="1133333"/>
        </a:xfrm>
        <a:prstGeom prst="rect">
          <a:avLst/>
        </a:prstGeom>
      </xdr:spPr>
    </xdr:pic>
    <xdr:clientData/>
  </xdr:twoCellAnchor>
  <xdr:twoCellAnchor>
    <xdr:from>
      <xdr:col>3</xdr:col>
      <xdr:colOff>66674</xdr:colOff>
      <xdr:row>7</xdr:row>
      <xdr:rowOff>190499</xdr:rowOff>
    </xdr:from>
    <xdr:to>
      <xdr:col>6</xdr:col>
      <xdr:colOff>752475</xdr:colOff>
      <xdr:row>11</xdr:row>
      <xdr:rowOff>180974</xdr:rowOff>
    </xdr:to>
    <xdr:sp macro="" textlink="">
      <xdr:nvSpPr>
        <xdr:cNvPr id="2" name="ZoneText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2352674" y="1924049"/>
          <a:ext cx="2971801" cy="752475"/>
        </a:xfrm>
        <a:prstGeom prst="rect">
          <a:avLst/>
        </a:prstGeom>
        <a:solidFill>
          <a:schemeClr val="accent2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sz="1200" b="1">
              <a:solidFill>
                <a:schemeClr val="bg1"/>
              </a:solidFill>
            </a:rPr>
            <a:t>Une Afrique prospère fondée sur une croissance inclusive et un développement durable</a:t>
          </a:r>
        </a:p>
      </xdr:txBody>
    </xdr:sp>
    <xdr:clientData/>
  </xdr:twoCellAnchor>
  <xdr:twoCellAnchor>
    <xdr:from>
      <xdr:col>9</xdr:col>
      <xdr:colOff>104775</xdr:colOff>
      <xdr:row>7</xdr:row>
      <xdr:rowOff>95249</xdr:rowOff>
    </xdr:from>
    <xdr:to>
      <xdr:col>12</xdr:col>
      <xdr:colOff>752475</xdr:colOff>
      <xdr:row>12</xdr:row>
      <xdr:rowOff>9524</xdr:rowOff>
    </xdr:to>
    <xdr:sp macro="" textlink="">
      <xdr:nvSpPr>
        <xdr:cNvPr id="11" name="ZoneTexte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 txBox="1"/>
      </xdr:nvSpPr>
      <xdr:spPr>
        <a:xfrm>
          <a:off x="6524625" y="1828799"/>
          <a:ext cx="2933700" cy="866775"/>
        </a:xfrm>
        <a:prstGeom prst="rect">
          <a:avLst/>
        </a:prstGeom>
        <a:solidFill>
          <a:srgbClr val="0070C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 algn="l"/>
          <a:r>
            <a:rPr lang="en-US" sz="1200" b="1">
              <a:solidFill>
                <a:schemeClr val="bg1"/>
              </a:solidFill>
              <a:latin typeface="+mn-lt"/>
              <a:ea typeface="+mn-ea"/>
              <a:cs typeface="+mn-cs"/>
            </a:rPr>
            <a:t>Un continent intégré, uni sur le plan politique et fondé sur les idéaux du panafricanisme et une vision de la renaissance africaine</a:t>
          </a:r>
        </a:p>
      </xdr:txBody>
    </xdr:sp>
    <xdr:clientData/>
  </xdr:twoCellAnchor>
  <xdr:twoCellAnchor>
    <xdr:from>
      <xdr:col>3</xdr:col>
      <xdr:colOff>66675</xdr:colOff>
      <xdr:row>15</xdr:row>
      <xdr:rowOff>152400</xdr:rowOff>
    </xdr:from>
    <xdr:to>
      <xdr:col>6</xdr:col>
      <xdr:colOff>742950</xdr:colOff>
      <xdr:row>19</xdr:row>
      <xdr:rowOff>76200</xdr:rowOff>
    </xdr:to>
    <xdr:sp macro="" textlink="">
      <xdr:nvSpPr>
        <xdr:cNvPr id="12" name="ZoneTexte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 txBox="1"/>
      </xdr:nvSpPr>
      <xdr:spPr>
        <a:xfrm>
          <a:off x="2352675" y="3409950"/>
          <a:ext cx="2962275" cy="685800"/>
        </a:xfrm>
        <a:prstGeom prst="rect">
          <a:avLst/>
        </a:prstGeom>
        <a:solidFill>
          <a:srgbClr val="D60093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 algn="l"/>
          <a:r>
            <a:rPr lang="fr-FR" sz="1200" b="1">
              <a:solidFill>
                <a:schemeClr val="bg1"/>
              </a:solidFill>
              <a:latin typeface="+mn-lt"/>
              <a:ea typeface="+mn-ea"/>
              <a:cs typeface="+mn-cs"/>
            </a:rPr>
            <a:t>Des citoyens en bonne santé et alimentés de manière appropriée </a:t>
          </a:r>
          <a:endParaRPr lang="en-US" sz="1200" b="1">
            <a:solidFill>
              <a:schemeClr val="bg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9</xdr:col>
      <xdr:colOff>133350</xdr:colOff>
      <xdr:row>16</xdr:row>
      <xdr:rowOff>47625</xdr:rowOff>
    </xdr:from>
    <xdr:to>
      <xdr:col>12</xdr:col>
      <xdr:colOff>742950</xdr:colOff>
      <xdr:row>18</xdr:row>
      <xdr:rowOff>38100</xdr:rowOff>
    </xdr:to>
    <xdr:sp macro="" textlink="">
      <xdr:nvSpPr>
        <xdr:cNvPr id="13" name="ZoneTexte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 txBox="1"/>
      </xdr:nvSpPr>
      <xdr:spPr>
        <a:xfrm>
          <a:off x="6553200" y="3495675"/>
          <a:ext cx="2895600" cy="371475"/>
        </a:xfrm>
        <a:prstGeom prst="rect">
          <a:avLst/>
        </a:prstGeom>
        <a:solidFill>
          <a:srgbClr val="009999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200" b="1">
              <a:solidFill>
                <a:schemeClr val="bg1"/>
              </a:solidFill>
              <a:latin typeface="+mn-lt"/>
              <a:ea typeface="+mn-ea"/>
              <a:cs typeface="+mn-cs"/>
            </a:rPr>
            <a:t>Une Afrique pacifique et sûre</a:t>
          </a:r>
        </a:p>
      </xdr:txBody>
    </xdr:sp>
    <xdr:clientData/>
  </xdr:twoCellAnchor>
  <xdr:twoCellAnchor>
    <xdr:from>
      <xdr:col>3</xdr:col>
      <xdr:colOff>28575</xdr:colOff>
      <xdr:row>23</xdr:row>
      <xdr:rowOff>171450</xdr:rowOff>
    </xdr:from>
    <xdr:to>
      <xdr:col>6</xdr:col>
      <xdr:colOff>723900</xdr:colOff>
      <xdr:row>27</xdr:row>
      <xdr:rowOff>95250</xdr:rowOff>
    </xdr:to>
    <xdr:sp macro="" textlink="">
      <xdr:nvSpPr>
        <xdr:cNvPr id="14" name="ZoneTexte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 txBox="1"/>
      </xdr:nvSpPr>
      <xdr:spPr>
        <a:xfrm>
          <a:off x="2314575" y="4953000"/>
          <a:ext cx="2981325" cy="685800"/>
        </a:xfrm>
        <a:prstGeom prst="rect">
          <a:avLst/>
        </a:prstGeom>
        <a:solidFill>
          <a:schemeClr val="accent4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200" b="1">
              <a:solidFill>
                <a:schemeClr val="bg1"/>
              </a:solidFill>
              <a:latin typeface="+mn-lt"/>
              <a:ea typeface="+mn-ea"/>
              <a:cs typeface="+mn-cs"/>
            </a:rPr>
            <a:t>Une Afrique qui a une identité culturelle forte, des valeurs, une éthique et un héritage communs</a:t>
          </a:r>
        </a:p>
      </xdr:txBody>
    </xdr:sp>
    <xdr:clientData/>
  </xdr:twoCellAnchor>
  <xdr:twoCellAnchor>
    <xdr:from>
      <xdr:col>9</xdr:col>
      <xdr:colOff>123826</xdr:colOff>
      <xdr:row>23</xdr:row>
      <xdr:rowOff>104774</xdr:rowOff>
    </xdr:from>
    <xdr:to>
      <xdr:col>12</xdr:col>
      <xdr:colOff>752475</xdr:colOff>
      <xdr:row>27</xdr:row>
      <xdr:rowOff>123825</xdr:rowOff>
    </xdr:to>
    <xdr:sp macro="" textlink="">
      <xdr:nvSpPr>
        <xdr:cNvPr id="15" name="ZoneTexte 1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SpPr txBox="1"/>
      </xdr:nvSpPr>
      <xdr:spPr>
        <a:xfrm>
          <a:off x="6543676" y="4886324"/>
          <a:ext cx="2914649" cy="781051"/>
        </a:xfrm>
        <a:prstGeom prst="rect">
          <a:avLst/>
        </a:prstGeom>
        <a:solidFill>
          <a:srgbClr val="FF0066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200" b="1">
              <a:solidFill>
                <a:schemeClr val="bg1"/>
              </a:solidFill>
              <a:latin typeface="+mn-lt"/>
              <a:ea typeface="+mn-ea"/>
              <a:cs typeface="+mn-cs"/>
            </a:rPr>
            <a:t>Une Afrique dont le développement est dirigé par ses peuples et qui compte sur leur potentiel</a:t>
          </a:r>
        </a:p>
      </xdr:txBody>
    </xdr:sp>
    <xdr:clientData/>
  </xdr:twoCellAnchor>
  <xdr:twoCellAnchor>
    <xdr:from>
      <xdr:col>5</xdr:col>
      <xdr:colOff>619125</xdr:colOff>
      <xdr:row>32</xdr:row>
      <xdr:rowOff>38100</xdr:rowOff>
    </xdr:from>
    <xdr:to>
      <xdr:col>10</xdr:col>
      <xdr:colOff>228600</xdr:colOff>
      <xdr:row>35</xdr:row>
      <xdr:rowOff>152400</xdr:rowOff>
    </xdr:to>
    <xdr:sp macro="" textlink="">
      <xdr:nvSpPr>
        <xdr:cNvPr id="16" name="ZoneTexte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 txBox="1"/>
      </xdr:nvSpPr>
      <xdr:spPr>
        <a:xfrm>
          <a:off x="4429125" y="6534150"/>
          <a:ext cx="2981325" cy="685800"/>
        </a:xfrm>
        <a:prstGeom prst="rect">
          <a:avLst/>
        </a:prstGeom>
        <a:solidFill>
          <a:srgbClr val="765A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200" b="1">
              <a:solidFill>
                <a:schemeClr val="bg1"/>
              </a:solidFill>
              <a:latin typeface="+mn-lt"/>
              <a:ea typeface="+mn-ea"/>
              <a:cs typeface="+mn-cs"/>
            </a:rPr>
            <a:t>L’Afrique en tant que partenaire solide et influant sur la scène mondiale 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528865</xdr:colOff>
      <xdr:row>35</xdr:row>
      <xdr:rowOff>95250</xdr:rowOff>
    </xdr:from>
    <xdr:to>
      <xdr:col>0</xdr:col>
      <xdr:colOff>1862365</xdr:colOff>
      <xdr:row>41</xdr:row>
      <xdr:rowOff>197904</xdr:rowOff>
    </xdr:to>
    <xdr:pic>
      <xdr:nvPicPr>
        <xdr:cNvPr id="2" name="Image 1" descr="https://www.nepad.org/sites/default/files/2018-03/Aspirations_1.pn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865" y="9062357"/>
          <a:ext cx="1333500" cy="15586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82828</xdr:colOff>
      <xdr:row>26</xdr:row>
      <xdr:rowOff>106091</xdr:rowOff>
    </xdr:from>
    <xdr:to>
      <xdr:col>2</xdr:col>
      <xdr:colOff>749578</xdr:colOff>
      <xdr:row>28</xdr:row>
      <xdr:rowOff>125142</xdr:rowOff>
    </xdr:to>
    <xdr:pic>
      <xdr:nvPicPr>
        <xdr:cNvPr id="3" name="Image 2" descr="https://www.nepad.org/sites/default/files/2018-03/Goal_1_Selection_1.png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duotone>
            <a:prstClr val="black"/>
            <a:schemeClr val="accent2">
              <a:tint val="45000"/>
              <a:satMod val="400000"/>
            </a:scheme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07062" y="6343430"/>
          <a:ext cx="666750" cy="51066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95425</xdr:colOff>
      <xdr:row>98</xdr:row>
      <xdr:rowOff>324553</xdr:rowOff>
    </xdr:from>
    <xdr:to>
      <xdr:col>2</xdr:col>
      <xdr:colOff>647875</xdr:colOff>
      <xdr:row>100</xdr:row>
      <xdr:rowOff>260644</xdr:rowOff>
    </xdr:to>
    <xdr:pic>
      <xdr:nvPicPr>
        <xdr:cNvPr id="4" name="Image 3" descr="https://www.nepad.org/sites/default/files/2018-03/Goal_2_Selection_3.png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duotone>
            <a:prstClr val="black"/>
            <a:schemeClr val="accent2">
              <a:tint val="45000"/>
              <a:satMod val="400000"/>
            </a:scheme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19659" y="24644029"/>
          <a:ext cx="552450" cy="673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76200</xdr:colOff>
      <xdr:row>166</xdr:row>
      <xdr:rowOff>142875</xdr:rowOff>
    </xdr:from>
    <xdr:to>
      <xdr:col>2</xdr:col>
      <xdr:colOff>742950</xdr:colOff>
      <xdr:row>168</xdr:row>
      <xdr:rowOff>142876</xdr:rowOff>
    </xdr:to>
    <xdr:pic>
      <xdr:nvPicPr>
        <xdr:cNvPr id="5" name="Image 4" descr="https://www.nepad.org/sites/default/files/2018-03/Goal_3_Selection%20%281%29.png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duotone>
            <a:prstClr val="black"/>
            <a:schemeClr val="accent2">
              <a:tint val="45000"/>
              <a:satMod val="400000"/>
            </a:scheme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96050" y="3886200"/>
          <a:ext cx="6667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129268</xdr:colOff>
      <xdr:row>210</xdr:row>
      <xdr:rowOff>215915</xdr:rowOff>
    </xdr:from>
    <xdr:to>
      <xdr:col>2</xdr:col>
      <xdr:colOff>653143</xdr:colOff>
      <xdr:row>213</xdr:row>
      <xdr:rowOff>169173</xdr:rowOff>
    </xdr:to>
    <xdr:pic>
      <xdr:nvPicPr>
        <xdr:cNvPr id="6" name="Image 5" descr="https://www.nepad.org/sites/default/files/2018-03/Goal_4_Selection_0.png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duotone>
            <a:prstClr val="black"/>
            <a:schemeClr val="accent2">
              <a:tint val="45000"/>
              <a:satMod val="400000"/>
            </a:scheme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42089" y="65258058"/>
          <a:ext cx="523875" cy="6880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5223</xdr:colOff>
      <xdr:row>219</xdr:row>
      <xdr:rowOff>188964</xdr:rowOff>
    </xdr:from>
    <xdr:to>
      <xdr:col>2</xdr:col>
      <xdr:colOff>671973</xdr:colOff>
      <xdr:row>222</xdr:row>
      <xdr:rowOff>125011</xdr:rowOff>
    </xdr:to>
    <xdr:pic>
      <xdr:nvPicPr>
        <xdr:cNvPr id="7" name="Image 6" descr="https://www.nepad.org/sites/default/files/2018-03/Goal_5_Selection_0.png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duotone>
            <a:prstClr val="black"/>
            <a:schemeClr val="accent2">
              <a:tint val="45000"/>
              <a:satMod val="400000"/>
            </a:scheme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29457" y="41929972"/>
          <a:ext cx="666750" cy="67346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82038</xdr:colOff>
      <xdr:row>224</xdr:row>
      <xdr:rowOff>314632</xdr:rowOff>
    </xdr:from>
    <xdr:to>
      <xdr:col>2</xdr:col>
      <xdr:colOff>748788</xdr:colOff>
      <xdr:row>227</xdr:row>
      <xdr:rowOff>91050</xdr:rowOff>
    </xdr:to>
    <xdr:pic>
      <xdr:nvPicPr>
        <xdr:cNvPr id="8" name="Image 7" descr="https://www.nepad.org/sites/default/files/2018-03/Goal_6_Selection_0.png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duotone>
            <a:prstClr val="black"/>
            <a:schemeClr val="accent2">
              <a:tint val="45000"/>
              <a:satMod val="400000"/>
            </a:scheme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06272" y="43530479"/>
          <a:ext cx="666750" cy="6367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79887</xdr:colOff>
      <xdr:row>229</xdr:row>
      <xdr:rowOff>3995</xdr:rowOff>
    </xdr:from>
    <xdr:to>
      <xdr:col>2</xdr:col>
      <xdr:colOff>689487</xdr:colOff>
      <xdr:row>231</xdr:row>
      <xdr:rowOff>202175</xdr:rowOff>
    </xdr:to>
    <xdr:pic>
      <xdr:nvPicPr>
        <xdr:cNvPr id="9" name="Image 8" descr="https://www.nepad.org/sites/default/files/2018-03/Goal_7_Selection_0.png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duotone>
            <a:prstClr val="black"/>
            <a:schemeClr val="accent2">
              <a:tint val="45000"/>
              <a:satMod val="400000"/>
            </a:scheme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04121" y="44694680"/>
          <a:ext cx="609600" cy="68979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</xdr:col>
      <xdr:colOff>64524</xdr:colOff>
      <xdr:row>233</xdr:row>
      <xdr:rowOff>111535</xdr:rowOff>
    </xdr:from>
    <xdr:ext cx="609600" cy="714374"/>
    <xdr:pic>
      <xdr:nvPicPr>
        <xdr:cNvPr id="16" name="Image 8" descr="https://www.nepad.org/sites/default/files/2018-03/Goal_7_Selection_0.png">
          <a:extLst>
            <a:ext uri="{FF2B5EF4-FFF2-40B4-BE49-F238E27FC236}">
              <a16:creationId xmlns:a16="http://schemas.microsoft.com/office/drawing/2014/main" id="{00000000-0008-0000-0100-00001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duotone>
            <a:prstClr val="black"/>
            <a:schemeClr val="accent2">
              <a:tint val="45000"/>
              <a:satMod val="400000"/>
            </a:scheme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88758" y="45785446"/>
          <a:ext cx="609600" cy="7143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2</xdr:col>
      <xdr:colOff>61451</xdr:colOff>
      <xdr:row>4</xdr:row>
      <xdr:rowOff>153629</xdr:rowOff>
    </xdr:from>
    <xdr:to>
      <xdr:col>2</xdr:col>
      <xdr:colOff>728201</xdr:colOff>
      <xdr:row>6</xdr:row>
      <xdr:rowOff>172679</xdr:rowOff>
    </xdr:to>
    <xdr:pic>
      <xdr:nvPicPr>
        <xdr:cNvPr id="12" name="Image 11" descr="https://www.nepad.org/sites/default/files/2018-03/Goal_1_Selection_1.png"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duotone>
            <a:prstClr val="black"/>
            <a:schemeClr val="accent2">
              <a:tint val="45000"/>
              <a:satMod val="400000"/>
            </a:scheme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85685" y="1229032"/>
          <a:ext cx="666750" cy="51066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146606</xdr:colOff>
      <xdr:row>87</xdr:row>
      <xdr:rowOff>171187</xdr:rowOff>
    </xdr:from>
    <xdr:to>
      <xdr:col>2</xdr:col>
      <xdr:colOff>699056</xdr:colOff>
      <xdr:row>89</xdr:row>
      <xdr:rowOff>107280</xdr:rowOff>
    </xdr:to>
    <xdr:pic>
      <xdr:nvPicPr>
        <xdr:cNvPr id="13" name="Image 12" descr="https://www.nepad.org/sites/default/files/2018-03/Goal_2_Selection_3.png">
          <a:extLst>
            <a:ext uri="{FF2B5EF4-FFF2-40B4-BE49-F238E27FC236}">
              <a16:creationId xmlns:a16="http://schemas.microsoft.com/office/drawing/2014/main" id="{00000000-0008-0000-0100-00000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duotone>
            <a:prstClr val="black"/>
            <a:schemeClr val="accent2">
              <a:tint val="45000"/>
              <a:satMod val="400000"/>
            </a:scheme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59427" y="26854794"/>
          <a:ext cx="552450" cy="67087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140021</xdr:colOff>
      <xdr:row>118</xdr:row>
      <xdr:rowOff>281359</xdr:rowOff>
    </xdr:from>
    <xdr:to>
      <xdr:col>2</xdr:col>
      <xdr:colOff>692471</xdr:colOff>
      <xdr:row>119</xdr:row>
      <xdr:rowOff>584843</xdr:rowOff>
    </xdr:to>
    <xdr:pic>
      <xdr:nvPicPr>
        <xdr:cNvPr id="14" name="Image 13" descr="https://www.nepad.org/sites/default/files/2018-03/Goal_2_Selection_3.png">
          <a:extLst>
            <a:ext uri="{FF2B5EF4-FFF2-40B4-BE49-F238E27FC236}">
              <a16:creationId xmlns:a16="http://schemas.microsoft.com/office/drawing/2014/main" id="{00000000-0008-0000-0100-00000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duotone>
            <a:prstClr val="black"/>
            <a:schemeClr val="accent2">
              <a:tint val="45000"/>
              <a:satMod val="400000"/>
            </a:scheme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52842" y="38476609"/>
          <a:ext cx="552450" cy="6708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76814</xdr:colOff>
      <xdr:row>111</xdr:row>
      <xdr:rowOff>307258</xdr:rowOff>
    </xdr:from>
    <xdr:to>
      <xdr:col>2</xdr:col>
      <xdr:colOff>629264</xdr:colOff>
      <xdr:row>113</xdr:row>
      <xdr:rowOff>243349</xdr:rowOff>
    </xdr:to>
    <xdr:pic>
      <xdr:nvPicPr>
        <xdr:cNvPr id="15" name="Image 14" descr="https://www.nepad.org/sites/default/files/2018-03/Goal_2_Selection_3.png">
          <a:extLst>
            <a:ext uri="{FF2B5EF4-FFF2-40B4-BE49-F238E27FC236}">
              <a16:creationId xmlns:a16="http://schemas.microsoft.com/office/drawing/2014/main" id="{00000000-0008-0000-0100-00000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duotone>
            <a:prstClr val="black"/>
            <a:schemeClr val="accent2">
              <a:tint val="45000"/>
              <a:satMod val="400000"/>
            </a:scheme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01048" y="29419960"/>
          <a:ext cx="552450" cy="673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92178</xdr:colOff>
      <xdr:row>47</xdr:row>
      <xdr:rowOff>0</xdr:rowOff>
    </xdr:from>
    <xdr:to>
      <xdr:col>2</xdr:col>
      <xdr:colOff>758928</xdr:colOff>
      <xdr:row>49</xdr:row>
      <xdr:rowOff>19050</xdr:rowOff>
    </xdr:to>
    <xdr:pic>
      <xdr:nvPicPr>
        <xdr:cNvPr id="18" name="Image 17" descr="https://www.nepad.org/sites/default/files/2018-03/Goal_1_Selection_1.png">
          <a:extLst>
            <a:ext uri="{FF2B5EF4-FFF2-40B4-BE49-F238E27FC236}">
              <a16:creationId xmlns:a16="http://schemas.microsoft.com/office/drawing/2014/main" id="{00000000-0008-0000-0100-00001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duotone>
            <a:prstClr val="black"/>
            <a:schemeClr val="accent2">
              <a:tint val="45000"/>
              <a:satMod val="400000"/>
            </a:scheme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16412" y="11399274"/>
          <a:ext cx="666750" cy="51066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107540</xdr:colOff>
      <xdr:row>63</xdr:row>
      <xdr:rowOff>138266</xdr:rowOff>
    </xdr:from>
    <xdr:to>
      <xdr:col>2</xdr:col>
      <xdr:colOff>774290</xdr:colOff>
      <xdr:row>64</xdr:row>
      <xdr:rowOff>280219</xdr:rowOff>
    </xdr:to>
    <xdr:pic>
      <xdr:nvPicPr>
        <xdr:cNvPr id="19" name="Image 18" descr="https://www.nepad.org/sites/default/files/2018-03/Goal_1_Selection_1.png">
          <a:extLst>
            <a:ext uri="{FF2B5EF4-FFF2-40B4-BE49-F238E27FC236}">
              <a16:creationId xmlns:a16="http://schemas.microsoft.com/office/drawing/2014/main" id="{00000000-0008-0000-0100-00001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duotone>
            <a:prstClr val="black"/>
            <a:schemeClr val="accent2">
              <a:tint val="45000"/>
              <a:satMod val="400000"/>
            </a:scheme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31774" y="15101734"/>
          <a:ext cx="666750" cy="51066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61451</xdr:colOff>
      <xdr:row>83</xdr:row>
      <xdr:rowOff>168992</xdr:rowOff>
    </xdr:from>
    <xdr:to>
      <xdr:col>2</xdr:col>
      <xdr:colOff>728201</xdr:colOff>
      <xdr:row>84</xdr:row>
      <xdr:rowOff>218768</xdr:rowOff>
    </xdr:to>
    <xdr:pic>
      <xdr:nvPicPr>
        <xdr:cNvPr id="20" name="Image 19" descr="https://www.nepad.org/sites/default/files/2018-03/Goal_1_Selection_1.png">
          <a:extLst>
            <a:ext uri="{FF2B5EF4-FFF2-40B4-BE49-F238E27FC236}">
              <a16:creationId xmlns:a16="http://schemas.microsoft.com/office/drawing/2014/main" id="{00000000-0008-0000-0100-00001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duotone>
            <a:prstClr val="black"/>
            <a:schemeClr val="accent2">
              <a:tint val="45000"/>
              <a:satMod val="400000"/>
            </a:scheme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85685" y="18604476"/>
          <a:ext cx="666750" cy="51066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312964</xdr:colOff>
      <xdr:row>7</xdr:row>
      <xdr:rowOff>190500</xdr:rowOff>
    </xdr:from>
    <xdr:to>
      <xdr:col>0</xdr:col>
      <xdr:colOff>1646464</xdr:colOff>
      <xdr:row>13</xdr:row>
      <xdr:rowOff>79975</xdr:rowOff>
    </xdr:to>
    <xdr:pic>
      <xdr:nvPicPr>
        <xdr:cNvPr id="21" name="Image 20" descr="https://www.nepad.org/sites/default/files/2018-03/Aspirations_1.png">
          <a:extLst>
            <a:ext uri="{FF2B5EF4-FFF2-40B4-BE49-F238E27FC236}">
              <a16:creationId xmlns:a16="http://schemas.microsoft.com/office/drawing/2014/main" id="{00000000-0008-0000-0100-00001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2964" y="2299607"/>
          <a:ext cx="1333500" cy="15586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27214</xdr:colOff>
      <xdr:row>141</xdr:row>
      <xdr:rowOff>272143</xdr:rowOff>
    </xdr:from>
    <xdr:to>
      <xdr:col>2</xdr:col>
      <xdr:colOff>693964</xdr:colOff>
      <xdr:row>143</xdr:row>
      <xdr:rowOff>108859</xdr:rowOff>
    </xdr:to>
    <xdr:pic>
      <xdr:nvPicPr>
        <xdr:cNvPr id="22" name="Image 21" descr="https://www.nepad.org/sites/default/files/2018-03/Goal_3_Selection%20%281%29.png">
          <a:extLst>
            <a:ext uri="{FF2B5EF4-FFF2-40B4-BE49-F238E27FC236}">
              <a16:creationId xmlns:a16="http://schemas.microsoft.com/office/drawing/2014/main" id="{00000000-0008-0000-0100-00001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duotone>
            <a:prstClr val="black"/>
            <a:schemeClr val="accent2">
              <a:tint val="45000"/>
              <a:satMod val="400000"/>
            </a:scheme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40035" y="47516143"/>
          <a:ext cx="666750" cy="48985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108857</xdr:colOff>
      <xdr:row>123</xdr:row>
      <xdr:rowOff>258536</xdr:rowOff>
    </xdr:from>
    <xdr:to>
      <xdr:col>2</xdr:col>
      <xdr:colOff>775607</xdr:colOff>
      <xdr:row>124</xdr:row>
      <xdr:rowOff>312966</xdr:rowOff>
    </xdr:to>
    <xdr:pic>
      <xdr:nvPicPr>
        <xdr:cNvPr id="23" name="Image 22" descr="https://www.nepad.org/sites/default/files/2018-03/Goal_3_Selection%20%281%29.png">
          <a:extLst>
            <a:ext uri="{FF2B5EF4-FFF2-40B4-BE49-F238E27FC236}">
              <a16:creationId xmlns:a16="http://schemas.microsoft.com/office/drawing/2014/main" id="{00000000-0008-0000-0100-00001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duotone>
            <a:prstClr val="black"/>
            <a:schemeClr val="accent2">
              <a:tint val="45000"/>
              <a:satMod val="400000"/>
            </a:scheme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21678" y="41392929"/>
          <a:ext cx="666750" cy="48985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81643</xdr:colOff>
      <xdr:row>186</xdr:row>
      <xdr:rowOff>163286</xdr:rowOff>
    </xdr:from>
    <xdr:to>
      <xdr:col>2</xdr:col>
      <xdr:colOff>748393</xdr:colOff>
      <xdr:row>188</xdr:row>
      <xdr:rowOff>163289</xdr:rowOff>
    </xdr:to>
    <xdr:pic>
      <xdr:nvPicPr>
        <xdr:cNvPr id="24" name="Image 23" descr="https://www.nepad.org/sites/default/files/2018-03/Goal_3_Selection%20%281%29.png">
          <a:extLst>
            <a:ext uri="{FF2B5EF4-FFF2-40B4-BE49-F238E27FC236}">
              <a16:creationId xmlns:a16="http://schemas.microsoft.com/office/drawing/2014/main" id="{00000000-0008-0000-0100-00001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duotone>
            <a:prstClr val="black"/>
            <a:schemeClr val="accent2">
              <a:tint val="45000"/>
              <a:satMod val="400000"/>
            </a:scheme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4464" y="59327143"/>
          <a:ext cx="666750" cy="48985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54428</xdr:colOff>
      <xdr:row>204</xdr:row>
      <xdr:rowOff>108857</xdr:rowOff>
    </xdr:from>
    <xdr:to>
      <xdr:col>2</xdr:col>
      <xdr:colOff>721178</xdr:colOff>
      <xdr:row>206</xdr:row>
      <xdr:rowOff>108859</xdr:rowOff>
    </xdr:to>
    <xdr:pic>
      <xdr:nvPicPr>
        <xdr:cNvPr id="25" name="Image 24" descr="https://www.nepad.org/sites/default/files/2018-03/Goal_3_Selection%20%281%29.png">
          <a:extLst>
            <a:ext uri="{FF2B5EF4-FFF2-40B4-BE49-F238E27FC236}">
              <a16:creationId xmlns:a16="http://schemas.microsoft.com/office/drawing/2014/main" id="{00000000-0008-0000-0100-00001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duotone>
            <a:prstClr val="black"/>
            <a:schemeClr val="accent2">
              <a:tint val="45000"/>
              <a:satMod val="400000"/>
            </a:scheme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67249" y="63681428"/>
          <a:ext cx="666750" cy="48985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411957</xdr:colOff>
      <xdr:row>9</xdr:row>
      <xdr:rowOff>476250</xdr:rowOff>
    </xdr:from>
    <xdr:to>
      <xdr:col>0</xdr:col>
      <xdr:colOff>1745457</xdr:colOff>
      <xdr:row>13</xdr:row>
      <xdr:rowOff>304800</xdr:rowOff>
    </xdr:to>
    <xdr:pic>
      <xdr:nvPicPr>
        <xdr:cNvPr id="10" name="Image 9" descr="https://www.nepad.org/sites/default/files/2018-03/Aspirations_2_1.png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1957" y="2678906"/>
          <a:ext cx="1333500" cy="1343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152400</xdr:colOff>
      <xdr:row>4</xdr:row>
      <xdr:rowOff>190500</xdr:rowOff>
    </xdr:from>
    <xdr:to>
      <xdr:col>2</xdr:col>
      <xdr:colOff>819150</xdr:colOff>
      <xdr:row>6</xdr:row>
      <xdr:rowOff>66675</xdr:rowOff>
    </xdr:to>
    <xdr:pic>
      <xdr:nvPicPr>
        <xdr:cNvPr id="11" name="Image 10" descr="https://www.nepad.org/sites/default/files/2018-03/Goal_3_Selection_1.png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duotone>
            <a:prstClr val="black"/>
            <a:schemeClr val="accent5">
              <a:tint val="45000"/>
              <a:satMod val="400000"/>
            </a:scheme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1643063"/>
          <a:ext cx="666750" cy="56673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166008</xdr:colOff>
      <xdr:row>11</xdr:row>
      <xdr:rowOff>235404</xdr:rowOff>
    </xdr:from>
    <xdr:to>
      <xdr:col>3</xdr:col>
      <xdr:colOff>2722</xdr:colOff>
      <xdr:row>13</xdr:row>
      <xdr:rowOff>115661</xdr:rowOff>
    </xdr:to>
    <xdr:pic>
      <xdr:nvPicPr>
        <xdr:cNvPr id="4" name="Image 3" descr="https://www.nepad.org/sites/default/files/2018-03/Goal_3_Selection_1.png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duotone>
            <a:prstClr val="black"/>
            <a:schemeClr val="accent5">
              <a:tint val="45000"/>
              <a:satMod val="400000"/>
            </a:scheme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00008" y="4855029"/>
          <a:ext cx="665389" cy="5660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347662</xdr:colOff>
      <xdr:row>8</xdr:row>
      <xdr:rowOff>14286</xdr:rowOff>
    </xdr:from>
    <xdr:to>
      <xdr:col>0</xdr:col>
      <xdr:colOff>1681162</xdr:colOff>
      <xdr:row>12</xdr:row>
      <xdr:rowOff>21429</xdr:rowOff>
    </xdr:to>
    <xdr:pic>
      <xdr:nvPicPr>
        <xdr:cNvPr id="10" name="Image 9" descr="https://www.nepad.org/sites/default/files/2018-03/Aspirations_3_0.png">
          <a:extLst>
            <a:ext uri="{FF2B5EF4-FFF2-40B4-BE49-F238E27FC236}">
              <a16:creationId xmlns:a16="http://schemas.microsoft.com/office/drawing/2014/main" id="{00000000-0008-0000-03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7662" y="2943224"/>
          <a:ext cx="1333500" cy="13406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66675</xdr:colOff>
      <xdr:row>23</xdr:row>
      <xdr:rowOff>38100</xdr:rowOff>
    </xdr:from>
    <xdr:to>
      <xdr:col>2</xdr:col>
      <xdr:colOff>733425</xdr:colOff>
      <xdr:row>24</xdr:row>
      <xdr:rowOff>278606</xdr:rowOff>
    </xdr:to>
    <xdr:pic>
      <xdr:nvPicPr>
        <xdr:cNvPr id="11" name="Image 10" descr="https://www.nepad.org/sites/default/files/2018-03/Goal_1_Selection_3.png">
          <a:extLst>
            <a:ext uri="{FF2B5EF4-FFF2-40B4-BE49-F238E27FC236}">
              <a16:creationId xmlns:a16="http://schemas.microsoft.com/office/drawing/2014/main" id="{00000000-0008-0000-0300-00000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duotone>
            <a:prstClr val="black"/>
            <a:srgbClr val="7030A0">
              <a:tint val="45000"/>
              <a:satMod val="400000"/>
            </a:srgb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86525" y="1343025"/>
          <a:ext cx="666750" cy="571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52388</xdr:colOff>
      <xdr:row>33</xdr:row>
      <xdr:rowOff>178594</xdr:rowOff>
    </xdr:from>
    <xdr:to>
      <xdr:col>2</xdr:col>
      <xdr:colOff>719138</xdr:colOff>
      <xdr:row>34</xdr:row>
      <xdr:rowOff>45244</xdr:rowOff>
    </xdr:to>
    <xdr:pic>
      <xdr:nvPicPr>
        <xdr:cNvPr id="12" name="Image 11" descr="https://www.nepad.org/sites/default/files/2018-03/Goal_2_Selection_5.png">
          <a:extLst>
            <a:ext uri="{FF2B5EF4-FFF2-40B4-BE49-F238E27FC236}">
              <a16:creationId xmlns:a16="http://schemas.microsoft.com/office/drawing/2014/main" id="{00000000-0008-0000-0300-00000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duotone>
            <a:prstClr val="black"/>
            <a:srgbClr val="7030A0">
              <a:tint val="45000"/>
              <a:satMod val="400000"/>
            </a:srgb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88857" y="11441907"/>
          <a:ext cx="666750" cy="54530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83344</xdr:colOff>
      <xdr:row>3</xdr:row>
      <xdr:rowOff>285751</xdr:rowOff>
    </xdr:from>
    <xdr:to>
      <xdr:col>2</xdr:col>
      <xdr:colOff>750094</xdr:colOff>
      <xdr:row>5</xdr:row>
      <xdr:rowOff>38100</xdr:rowOff>
    </xdr:to>
    <xdr:pic>
      <xdr:nvPicPr>
        <xdr:cNvPr id="5" name="Image 4" descr="https://www.nepad.org/sites/default/files/2018-03/Goal_1_Selection_3.png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duotone>
            <a:prstClr val="black"/>
            <a:srgbClr val="7030A0">
              <a:tint val="45000"/>
              <a:satMod val="400000"/>
            </a:srgb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19813" y="1393032"/>
          <a:ext cx="666750" cy="57388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107156</xdr:colOff>
      <xdr:row>39</xdr:row>
      <xdr:rowOff>273843</xdr:rowOff>
    </xdr:from>
    <xdr:to>
      <xdr:col>2</xdr:col>
      <xdr:colOff>773906</xdr:colOff>
      <xdr:row>41</xdr:row>
      <xdr:rowOff>152399</xdr:rowOff>
    </xdr:to>
    <xdr:pic>
      <xdr:nvPicPr>
        <xdr:cNvPr id="6" name="Image 5" descr="https://www.nepad.org/sites/default/files/2018-03/Goal_2_Selection_5.png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duotone>
            <a:prstClr val="black"/>
            <a:srgbClr val="7030A0">
              <a:tint val="45000"/>
              <a:satMod val="400000"/>
            </a:srgb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43625" y="13882687"/>
          <a:ext cx="666750" cy="54530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440531</xdr:colOff>
      <xdr:row>32</xdr:row>
      <xdr:rowOff>261937</xdr:rowOff>
    </xdr:from>
    <xdr:to>
      <xdr:col>0</xdr:col>
      <xdr:colOff>1774031</xdr:colOff>
      <xdr:row>35</xdr:row>
      <xdr:rowOff>257174</xdr:rowOff>
    </xdr:to>
    <xdr:pic>
      <xdr:nvPicPr>
        <xdr:cNvPr id="7" name="Image 6" descr="https://www.nepad.org/sites/default/files/2018-03/Aspirations_3_0.png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0531" y="11191875"/>
          <a:ext cx="1333500" cy="13406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495300</xdr:colOff>
      <xdr:row>6</xdr:row>
      <xdr:rowOff>38100</xdr:rowOff>
    </xdr:from>
    <xdr:to>
      <xdr:col>0</xdr:col>
      <xdr:colOff>1828800</xdr:colOff>
      <xdr:row>11</xdr:row>
      <xdr:rowOff>193675</xdr:rowOff>
    </xdr:to>
    <xdr:pic>
      <xdr:nvPicPr>
        <xdr:cNvPr id="10" name="Image 9" descr="https://www.nepad.org/sites/default/files/2018-03/Aspirations_4_0.png">
          <a:extLst>
            <a:ext uri="{FF2B5EF4-FFF2-40B4-BE49-F238E27FC236}">
              <a16:creationId xmlns:a16="http://schemas.microsoft.com/office/drawing/2014/main" id="{00000000-0008-0000-04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5300" y="158115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123825</xdr:colOff>
      <xdr:row>6</xdr:row>
      <xdr:rowOff>180975</xdr:rowOff>
    </xdr:from>
    <xdr:to>
      <xdr:col>2</xdr:col>
      <xdr:colOff>790575</xdr:colOff>
      <xdr:row>9</xdr:row>
      <xdr:rowOff>19050</xdr:rowOff>
    </xdr:to>
    <xdr:pic>
      <xdr:nvPicPr>
        <xdr:cNvPr id="11" name="Image 10" descr="https://www.nepad.org/sites/default/files/2018-03/Goal_1_Selection_4.png">
          <a:extLst>
            <a:ext uri="{FF2B5EF4-FFF2-40B4-BE49-F238E27FC236}">
              <a16:creationId xmlns:a16="http://schemas.microsoft.com/office/drawing/2014/main" id="{00000000-0008-0000-0400-00000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duotone>
            <a:prstClr val="black"/>
            <a:schemeClr val="accent6">
              <a:tint val="45000"/>
              <a:satMod val="400000"/>
            </a:scheme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1724025"/>
          <a:ext cx="666750" cy="552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142875</xdr:colOff>
      <xdr:row>12</xdr:row>
      <xdr:rowOff>38100</xdr:rowOff>
    </xdr:from>
    <xdr:to>
      <xdr:col>2</xdr:col>
      <xdr:colOff>809625</xdr:colOff>
      <xdr:row>12</xdr:row>
      <xdr:rowOff>581025</xdr:rowOff>
    </xdr:to>
    <xdr:pic>
      <xdr:nvPicPr>
        <xdr:cNvPr id="12" name="Image 11" descr="https://www.nepad.org/sites/default/files/2018-03/Goal_2_Selection_6.png">
          <a:extLst>
            <a:ext uri="{FF2B5EF4-FFF2-40B4-BE49-F238E27FC236}">
              <a16:creationId xmlns:a16="http://schemas.microsoft.com/office/drawing/2014/main" id="{00000000-0008-0000-0400-00000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duotone>
            <a:prstClr val="black"/>
            <a:schemeClr val="accent6">
              <a:tint val="45000"/>
              <a:satMod val="400000"/>
            </a:scheme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62725" y="3314700"/>
          <a:ext cx="666750" cy="542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95250</xdr:colOff>
      <xdr:row>13</xdr:row>
      <xdr:rowOff>300038</xdr:rowOff>
    </xdr:from>
    <xdr:to>
      <xdr:col>2</xdr:col>
      <xdr:colOff>762000</xdr:colOff>
      <xdr:row>14</xdr:row>
      <xdr:rowOff>411956</xdr:rowOff>
    </xdr:to>
    <xdr:pic>
      <xdr:nvPicPr>
        <xdr:cNvPr id="13" name="Image 12" descr="https://www.nepad.org/sites/default/files/2018-03/Goal_3_Selection_2.png">
          <a:extLst>
            <a:ext uri="{FF2B5EF4-FFF2-40B4-BE49-F238E27FC236}">
              <a16:creationId xmlns:a16="http://schemas.microsoft.com/office/drawing/2014/main" id="{00000000-0008-0000-0400-00000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duotone>
            <a:prstClr val="black"/>
            <a:schemeClr val="accent6">
              <a:tint val="45000"/>
              <a:satMod val="400000"/>
            </a:scheme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12719" y="4169569"/>
          <a:ext cx="666750" cy="51673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609599</xdr:colOff>
      <xdr:row>2</xdr:row>
      <xdr:rowOff>514349</xdr:rowOff>
    </xdr:from>
    <xdr:to>
      <xdr:col>0</xdr:col>
      <xdr:colOff>1457324</xdr:colOff>
      <xdr:row>4</xdr:row>
      <xdr:rowOff>209549</xdr:rowOff>
    </xdr:to>
    <xdr:pic>
      <xdr:nvPicPr>
        <xdr:cNvPr id="10" name="Image 9" descr="https://www.nepad.org/sites/default/files/2018-03/Aspirations_5_0.png">
          <a:extLst>
            <a:ext uri="{FF2B5EF4-FFF2-40B4-BE49-F238E27FC236}">
              <a16:creationId xmlns:a16="http://schemas.microsoft.com/office/drawing/2014/main" id="{00000000-0008-0000-05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599" y="1076324"/>
          <a:ext cx="847725" cy="847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209550</xdr:colOff>
      <xdr:row>4</xdr:row>
      <xdr:rowOff>0</xdr:rowOff>
    </xdr:from>
    <xdr:to>
      <xdr:col>2</xdr:col>
      <xdr:colOff>600075</xdr:colOff>
      <xdr:row>4</xdr:row>
      <xdr:rowOff>666750</xdr:rowOff>
    </xdr:to>
    <xdr:pic>
      <xdr:nvPicPr>
        <xdr:cNvPr id="11" name="Image 10" descr="https://www.nepad.org/sites/default/files/2018-03/Goal_1_Selection_5.png">
          <a:extLst>
            <a:ext uri="{FF2B5EF4-FFF2-40B4-BE49-F238E27FC236}">
              <a16:creationId xmlns:a16="http://schemas.microsoft.com/office/drawing/2014/main" id="{00000000-0008-0000-0500-00000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duotone>
            <a:prstClr val="black"/>
            <a:schemeClr val="accent4">
              <a:tint val="45000"/>
              <a:satMod val="400000"/>
            </a:scheme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29400" y="2038350"/>
          <a:ext cx="390525" cy="666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240845</xdr:colOff>
      <xdr:row>10</xdr:row>
      <xdr:rowOff>55790</xdr:rowOff>
    </xdr:from>
    <xdr:to>
      <xdr:col>0</xdr:col>
      <xdr:colOff>1574345</xdr:colOff>
      <xdr:row>13</xdr:row>
      <xdr:rowOff>55789</xdr:rowOff>
    </xdr:to>
    <xdr:pic>
      <xdr:nvPicPr>
        <xdr:cNvPr id="10" name="Image 9" descr="https://www.nepad.org/sites/default/files/2018-03/Aspirations_6_1.png">
          <a:extLst>
            <a:ext uri="{FF2B5EF4-FFF2-40B4-BE49-F238E27FC236}">
              <a16:creationId xmlns:a16="http://schemas.microsoft.com/office/drawing/2014/main" id="{00000000-0008-0000-06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0845" y="3838576"/>
          <a:ext cx="1333500" cy="115660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4060371</xdr:colOff>
      <xdr:row>12</xdr:row>
      <xdr:rowOff>0</xdr:rowOff>
    </xdr:from>
    <xdr:to>
      <xdr:col>2</xdr:col>
      <xdr:colOff>625929</xdr:colOff>
      <xdr:row>12</xdr:row>
      <xdr:rowOff>421368</xdr:rowOff>
    </xdr:to>
    <xdr:pic>
      <xdr:nvPicPr>
        <xdr:cNvPr id="11" name="Image 10" descr="https://www.nepad.org/sites/default/files/2018-03/Goal_1_Selection_6.png">
          <a:extLst>
            <a:ext uri="{FF2B5EF4-FFF2-40B4-BE49-F238E27FC236}">
              <a16:creationId xmlns:a16="http://schemas.microsoft.com/office/drawing/2014/main" id="{00000000-0008-0000-0600-00000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duotone>
            <a:prstClr val="black"/>
            <a:srgbClr val="FF0000">
              <a:tint val="45000"/>
              <a:satMod val="400000"/>
            </a:srgb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4929869"/>
          <a:ext cx="647700" cy="4213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129269</xdr:colOff>
      <xdr:row>25</xdr:row>
      <xdr:rowOff>141515</xdr:rowOff>
    </xdr:from>
    <xdr:to>
      <xdr:col>2</xdr:col>
      <xdr:colOff>662669</xdr:colOff>
      <xdr:row>28</xdr:row>
      <xdr:rowOff>100694</xdr:rowOff>
    </xdr:to>
    <xdr:pic>
      <xdr:nvPicPr>
        <xdr:cNvPr id="12" name="Image 11" descr="https://www.nepad.org/sites/default/files/2018-03/Goal_2_Selection_7.png">
          <a:extLst>
            <a:ext uri="{FF2B5EF4-FFF2-40B4-BE49-F238E27FC236}">
              <a16:creationId xmlns:a16="http://schemas.microsoft.com/office/drawing/2014/main" id="{00000000-0008-0000-0600-00000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duotone>
            <a:prstClr val="black"/>
            <a:srgbClr val="FF0000">
              <a:tint val="45000"/>
              <a:satMod val="400000"/>
            </a:srgb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51840" y="9884229"/>
          <a:ext cx="533400" cy="6803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381000</xdr:colOff>
      <xdr:row>3</xdr:row>
      <xdr:rowOff>314325</xdr:rowOff>
    </xdr:from>
    <xdr:to>
      <xdr:col>0</xdr:col>
      <xdr:colOff>1714500</xdr:colOff>
      <xdr:row>5</xdr:row>
      <xdr:rowOff>447675</xdr:rowOff>
    </xdr:to>
    <xdr:pic>
      <xdr:nvPicPr>
        <xdr:cNvPr id="10" name="Image 9" descr="https://www.nepad.org/sites/default/files/2018-03/Aspirations_7_0.png">
          <a:extLst>
            <a:ext uri="{FF2B5EF4-FFF2-40B4-BE49-F238E27FC236}">
              <a16:creationId xmlns:a16="http://schemas.microsoft.com/office/drawing/2014/main" id="{00000000-0008-0000-07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114300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114300</xdr:colOff>
      <xdr:row>4</xdr:row>
      <xdr:rowOff>9525</xdr:rowOff>
    </xdr:from>
    <xdr:to>
      <xdr:col>2</xdr:col>
      <xdr:colOff>752475</xdr:colOff>
      <xdr:row>5</xdr:row>
      <xdr:rowOff>76201</xdr:rowOff>
    </xdr:to>
    <xdr:pic>
      <xdr:nvPicPr>
        <xdr:cNvPr id="11" name="Image 10" descr="https://www.nepad.org/sites/default/files/2018-03/Goal_1_Selection_7.png">
          <a:extLst>
            <a:ext uri="{FF2B5EF4-FFF2-40B4-BE49-F238E27FC236}">
              <a16:creationId xmlns:a16="http://schemas.microsoft.com/office/drawing/2014/main" id="{00000000-0008-0000-0700-00000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duotone>
            <a:prstClr val="black"/>
            <a:schemeClr val="bg2">
              <a:lumMod val="10000"/>
              <a:tint val="45000"/>
              <a:satMod val="400000"/>
            </a:scheme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4150" y="1076325"/>
          <a:ext cx="638175" cy="666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85725</xdr:colOff>
      <xdr:row>7</xdr:row>
      <xdr:rowOff>180975</xdr:rowOff>
    </xdr:from>
    <xdr:to>
      <xdr:col>2</xdr:col>
      <xdr:colOff>752475</xdr:colOff>
      <xdr:row>9</xdr:row>
      <xdr:rowOff>9525</xdr:rowOff>
    </xdr:to>
    <xdr:pic>
      <xdr:nvPicPr>
        <xdr:cNvPr id="12" name="Image 11" descr="https://www.nepad.org/sites/default/files/2018-03/Goal_2_Selection_8.png">
          <a:extLst>
            <a:ext uri="{FF2B5EF4-FFF2-40B4-BE49-F238E27FC236}">
              <a16:creationId xmlns:a16="http://schemas.microsoft.com/office/drawing/2014/main" id="{00000000-0008-0000-0700-00000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duotone>
            <a:prstClr val="black"/>
            <a:schemeClr val="accent3">
              <a:lumMod val="50000"/>
              <a:tint val="45000"/>
              <a:satMod val="400000"/>
            </a:scheme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05575" y="3409950"/>
          <a:ext cx="666750" cy="666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50"/>
  </sheetPr>
  <dimension ref="B3:N38"/>
  <sheetViews>
    <sheetView showRowColHeaders="0" defaultGridColor="0" topLeftCell="A16" colorId="9" workbookViewId="0">
      <selection activeCell="P10" sqref="P10"/>
    </sheetView>
  </sheetViews>
  <sheetFormatPr baseColWidth="10" defaultRowHeight="14.5" x14ac:dyDescent="0.35"/>
  <cols>
    <col min="8" max="8" width="4.81640625" customWidth="1"/>
  </cols>
  <sheetData>
    <row r="3" spans="2:14" ht="30" thickBot="1" x14ac:dyDescent="0.4">
      <c r="B3" s="246" t="s">
        <v>4</v>
      </c>
      <c r="C3" s="246"/>
      <c r="D3" s="246"/>
      <c r="E3" s="246"/>
      <c r="F3" s="246"/>
      <c r="G3" s="246"/>
      <c r="H3" s="246"/>
      <c r="I3" s="246"/>
      <c r="J3" s="246"/>
      <c r="K3" s="246"/>
      <c r="L3" s="246"/>
      <c r="M3" s="246"/>
      <c r="N3" s="246"/>
    </row>
    <row r="4" spans="2:14" ht="30" thickBot="1" x14ac:dyDescent="0.4">
      <c r="B4" s="7"/>
      <c r="C4" s="7"/>
      <c r="D4" s="7"/>
      <c r="E4" s="7"/>
      <c r="F4" s="7"/>
      <c r="G4" s="7"/>
      <c r="H4" s="7"/>
      <c r="I4" s="7"/>
      <c r="J4" s="250" t="s">
        <v>5</v>
      </c>
      <c r="K4" s="250"/>
      <c r="L4" s="247"/>
      <c r="M4" s="248"/>
      <c r="N4" s="249"/>
    </row>
    <row r="5" spans="2:14" x14ac:dyDescent="0.35"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</row>
    <row r="6" spans="2:14" x14ac:dyDescent="0.35"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</row>
    <row r="7" spans="2:14" x14ac:dyDescent="0.35"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</row>
    <row r="8" spans="2:14" x14ac:dyDescent="0.35"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</row>
    <row r="9" spans="2:14" x14ac:dyDescent="0.35"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</row>
    <row r="10" spans="2:14" x14ac:dyDescent="0.35"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</row>
    <row r="11" spans="2:14" x14ac:dyDescent="0.35"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</row>
    <row r="12" spans="2:14" x14ac:dyDescent="0.35"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</row>
    <row r="13" spans="2:14" x14ac:dyDescent="0.35"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</row>
    <row r="14" spans="2:14" x14ac:dyDescent="0.35"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</row>
    <row r="15" spans="2:14" x14ac:dyDescent="0.35"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</row>
    <row r="16" spans="2:14" x14ac:dyDescent="0.35"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</row>
    <row r="17" spans="2:14" x14ac:dyDescent="0.35"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</row>
    <row r="18" spans="2:14" x14ac:dyDescent="0.35"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</row>
    <row r="19" spans="2:14" x14ac:dyDescent="0.35"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</row>
    <row r="20" spans="2:14" x14ac:dyDescent="0.35"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</row>
    <row r="21" spans="2:14" x14ac:dyDescent="0.35"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</row>
    <row r="22" spans="2:14" x14ac:dyDescent="0.35"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</row>
    <row r="23" spans="2:14" x14ac:dyDescent="0.35"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</row>
    <row r="24" spans="2:14" x14ac:dyDescent="0.35"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</row>
    <row r="25" spans="2:14" x14ac:dyDescent="0.35"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</row>
    <row r="26" spans="2:14" x14ac:dyDescent="0.35"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</row>
    <row r="27" spans="2:14" x14ac:dyDescent="0.35"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</row>
    <row r="28" spans="2:14" x14ac:dyDescent="0.35"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</row>
    <row r="29" spans="2:14" x14ac:dyDescent="0.35"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</row>
    <row r="30" spans="2:14" x14ac:dyDescent="0.35"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</row>
    <row r="31" spans="2:14" x14ac:dyDescent="0.35"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</row>
    <row r="32" spans="2:14" x14ac:dyDescent="0.35"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</row>
    <row r="33" spans="2:14" x14ac:dyDescent="0.35"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</row>
    <row r="34" spans="2:14" x14ac:dyDescent="0.35"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</row>
    <row r="35" spans="2:14" x14ac:dyDescent="0.35"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</row>
    <row r="36" spans="2:14" x14ac:dyDescent="0.35"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</row>
    <row r="37" spans="2:14" x14ac:dyDescent="0.35"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</row>
    <row r="38" spans="2:14" x14ac:dyDescent="0.35"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</row>
  </sheetData>
  <mergeCells count="3">
    <mergeCell ref="B3:N3"/>
    <mergeCell ref="L4:N4"/>
    <mergeCell ref="J4:K4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5" tint="-0.249977111117893"/>
  </sheetPr>
  <dimension ref="A1:W237"/>
  <sheetViews>
    <sheetView zoomScale="70" zoomScaleNormal="70" workbookViewId="0">
      <pane xSplit="1" ySplit="3" topLeftCell="K124" activePane="bottomRight" state="frozen"/>
      <selection pane="topRight" activeCell="B1" sqref="B1"/>
      <selection pane="bottomLeft" activeCell="A4" sqref="A4"/>
      <selection pane="bottomRight" activeCell="T226" sqref="T226"/>
    </sheetView>
  </sheetViews>
  <sheetFormatPr baseColWidth="10" defaultColWidth="35" defaultRowHeight="18.5" x14ac:dyDescent="0.45"/>
  <cols>
    <col min="1" max="1" width="35.1796875" style="1" customWidth="1"/>
    <col min="2" max="2" width="34" style="1" customWidth="1"/>
    <col min="3" max="4" width="12.453125" style="1" customWidth="1"/>
    <col min="5" max="5" width="20.81640625" style="1" customWidth="1"/>
    <col min="6" max="6" width="133.453125" style="2" customWidth="1"/>
    <col min="7" max="7" width="18.54296875" style="1" customWidth="1"/>
    <col min="8" max="8" width="22.453125" style="1" customWidth="1"/>
    <col min="9" max="9" width="20" style="1" customWidth="1"/>
    <col min="10" max="10" width="19.7265625" style="1" customWidth="1"/>
    <col min="11" max="11" width="19.26953125" style="1" customWidth="1"/>
    <col min="12" max="12" width="20.1796875" style="1" customWidth="1"/>
    <col min="13" max="13" width="15.81640625" style="1" customWidth="1"/>
    <col min="14" max="15" width="4" style="3" customWidth="1"/>
    <col min="16" max="22" width="15.81640625" style="1" customWidth="1"/>
    <col min="23" max="23" width="68.7265625" style="1" customWidth="1"/>
    <col min="24" max="16384" width="35" style="1"/>
  </cols>
  <sheetData>
    <row r="1" spans="1:23" x14ac:dyDescent="0.45">
      <c r="A1" s="6" t="s">
        <v>184</v>
      </c>
    </row>
    <row r="2" spans="1:23" ht="25.5" customHeight="1" x14ac:dyDescent="0.45">
      <c r="A2" s="36" t="s">
        <v>0</v>
      </c>
      <c r="B2" s="227" t="s">
        <v>183</v>
      </c>
      <c r="C2" s="227"/>
      <c r="D2" s="36"/>
      <c r="E2" s="36"/>
      <c r="F2" s="36" t="s">
        <v>211</v>
      </c>
      <c r="G2" s="227" t="s">
        <v>212</v>
      </c>
      <c r="H2" s="227"/>
      <c r="I2" s="227"/>
      <c r="J2" s="227"/>
      <c r="K2" s="227"/>
      <c r="L2" s="227"/>
      <c r="M2" s="227"/>
      <c r="N2" s="37" t="s">
        <v>2</v>
      </c>
      <c r="O2" s="37" t="s">
        <v>209</v>
      </c>
      <c r="P2" s="227" t="s">
        <v>193</v>
      </c>
      <c r="Q2" s="227"/>
      <c r="R2" s="227"/>
      <c r="S2" s="227"/>
      <c r="T2" s="227"/>
      <c r="U2" s="227"/>
      <c r="V2" s="227"/>
      <c r="W2" s="36" t="s">
        <v>213</v>
      </c>
    </row>
    <row r="3" spans="1:23" s="43" customFormat="1" ht="43.5" customHeight="1" thickBot="1" x14ac:dyDescent="0.5">
      <c r="A3" s="38"/>
      <c r="B3" s="39"/>
      <c r="C3" s="39"/>
      <c r="D3" s="80" t="s">
        <v>210</v>
      </c>
      <c r="E3" s="81" t="s">
        <v>404</v>
      </c>
      <c r="F3" s="40" t="s">
        <v>207</v>
      </c>
      <c r="G3" s="40">
        <v>2013</v>
      </c>
      <c r="H3" s="40">
        <v>2014</v>
      </c>
      <c r="I3" s="40">
        <v>2015</v>
      </c>
      <c r="J3" s="40">
        <v>2016</v>
      </c>
      <c r="K3" s="40">
        <v>2017</v>
      </c>
      <c r="L3" s="40">
        <v>2018</v>
      </c>
      <c r="M3" s="40">
        <v>2019</v>
      </c>
      <c r="N3" s="41" t="e">
        <f>SUM(N4:N236)</f>
        <v>#REF!</v>
      </c>
      <c r="O3" s="41">
        <f>SUM(O4:O236)</f>
        <v>0</v>
      </c>
      <c r="P3" s="40">
        <v>2013</v>
      </c>
      <c r="Q3" s="40">
        <v>2014</v>
      </c>
      <c r="R3" s="40">
        <v>2015</v>
      </c>
      <c r="S3" s="40">
        <v>2016</v>
      </c>
      <c r="T3" s="40">
        <v>2017</v>
      </c>
      <c r="U3" s="40">
        <v>2018</v>
      </c>
      <c r="V3" s="40">
        <v>2019</v>
      </c>
      <c r="W3" s="42" t="s">
        <v>214</v>
      </c>
    </row>
    <row r="4" spans="1:23" ht="18.75" customHeight="1" thickTop="1" x14ac:dyDescent="0.45">
      <c r="A4" s="230" t="s">
        <v>185</v>
      </c>
      <c r="B4" s="240" t="s">
        <v>186</v>
      </c>
      <c r="C4" s="233"/>
      <c r="D4" s="228" t="s">
        <v>218</v>
      </c>
      <c r="E4" s="221" t="s">
        <v>239</v>
      </c>
      <c r="F4" s="17" t="s">
        <v>6</v>
      </c>
      <c r="G4" s="97">
        <v>4415218.9999801666</v>
      </c>
      <c r="H4" s="182">
        <v>4463931.9356277557</v>
      </c>
      <c r="I4" s="182">
        <v>4499295.1818650616</v>
      </c>
      <c r="J4" s="182">
        <v>4846507.6719679637</v>
      </c>
      <c r="K4" s="182">
        <v>5340949.7362238066</v>
      </c>
      <c r="L4" s="98"/>
      <c r="M4" s="99"/>
      <c r="N4" s="67">
        <f>IF(AND(G4=""),0,IF(OR(G4=""),2,3))</f>
        <v>3</v>
      </c>
      <c r="O4" s="67">
        <f>IF(AND(M4=""),0,IF(OR(M4=""),1,2))</f>
        <v>0</v>
      </c>
      <c r="P4" s="97"/>
      <c r="Q4" s="97"/>
      <c r="R4" s="97"/>
      <c r="S4" s="97"/>
      <c r="T4" s="97"/>
      <c r="U4" s="98"/>
      <c r="V4" s="99"/>
      <c r="W4" s="175"/>
    </row>
    <row r="5" spans="1:23" x14ac:dyDescent="0.45">
      <c r="A5" s="231"/>
      <c r="B5" s="241"/>
      <c r="C5" s="234"/>
      <c r="D5" s="226"/>
      <c r="E5" s="221"/>
      <c r="F5" s="45" t="s">
        <v>7</v>
      </c>
      <c r="G5" s="100">
        <v>45625000000000</v>
      </c>
      <c r="H5" s="101">
        <v>47317000000000</v>
      </c>
      <c r="I5" s="101">
        <v>49122000000000</v>
      </c>
      <c r="J5" s="101">
        <v>54441000000000</v>
      </c>
      <c r="K5" s="101">
        <v>61715000000000</v>
      </c>
      <c r="L5" s="101"/>
      <c r="M5" s="102"/>
      <c r="N5" s="67">
        <f t="shared" ref="N5:N68" si="0">IF(AND(G5=""),0,IF(OR(G5=""),2,3))</f>
        <v>3</v>
      </c>
      <c r="O5" s="67">
        <f t="shared" ref="O5:O68" si="1">IF(AND(M5=""),0,IF(OR(M5=""),1,2))</f>
        <v>0</v>
      </c>
      <c r="P5" s="100"/>
      <c r="Q5" s="100"/>
      <c r="R5" s="100"/>
      <c r="S5" s="100"/>
      <c r="T5" s="100"/>
      <c r="U5" s="101"/>
      <c r="V5" s="102"/>
      <c r="W5" s="168"/>
    </row>
    <row r="6" spans="1:23" x14ac:dyDescent="0.45">
      <c r="A6" s="231"/>
      <c r="B6" s="241"/>
      <c r="C6" s="234"/>
      <c r="D6" s="226"/>
      <c r="E6" s="221"/>
      <c r="F6" s="45" t="s">
        <v>1</v>
      </c>
      <c r="G6" s="100">
        <v>10333575.752460966</v>
      </c>
      <c r="H6" s="101">
        <v>10599848</v>
      </c>
      <c r="I6" s="101">
        <v>10917710</v>
      </c>
      <c r="J6" s="101">
        <v>11233037</v>
      </c>
      <c r="K6" s="101">
        <v>11555061</v>
      </c>
      <c r="L6" s="101"/>
      <c r="M6" s="102"/>
      <c r="N6" s="67">
        <f t="shared" si="0"/>
        <v>3</v>
      </c>
      <c r="O6" s="67">
        <f t="shared" si="1"/>
        <v>0</v>
      </c>
      <c r="P6" s="100"/>
      <c r="Q6" s="100"/>
      <c r="R6" s="100"/>
      <c r="S6" s="100"/>
      <c r="T6" s="100"/>
      <c r="U6" s="101"/>
      <c r="V6" s="102"/>
      <c r="W6" s="168"/>
    </row>
    <row r="7" spans="1:23" x14ac:dyDescent="0.45">
      <c r="A7" s="231"/>
      <c r="B7" s="241"/>
      <c r="C7" s="234"/>
      <c r="D7" s="229"/>
      <c r="E7" s="222"/>
      <c r="F7" s="45" t="s">
        <v>242</v>
      </c>
      <c r="G7" s="100">
        <v>6906</v>
      </c>
      <c r="H7" s="101">
        <v>7016</v>
      </c>
      <c r="I7" s="101">
        <v>8004</v>
      </c>
      <c r="J7" s="101">
        <v>9225</v>
      </c>
      <c r="K7" s="101">
        <v>9006</v>
      </c>
      <c r="L7" s="101"/>
      <c r="M7" s="102"/>
      <c r="N7" s="67">
        <f t="shared" si="0"/>
        <v>3</v>
      </c>
      <c r="O7" s="67">
        <f t="shared" si="1"/>
        <v>0</v>
      </c>
      <c r="P7" s="100"/>
      <c r="Q7" s="100"/>
      <c r="R7" s="100"/>
      <c r="S7" s="100"/>
      <c r="T7" s="100"/>
      <c r="U7" s="101"/>
      <c r="V7" s="102"/>
      <c r="W7" s="168"/>
    </row>
    <row r="8" spans="1:23" x14ac:dyDescent="0.45">
      <c r="A8" s="231"/>
      <c r="B8" s="241"/>
      <c r="C8" s="234"/>
      <c r="D8" s="223" t="s">
        <v>219</v>
      </c>
      <c r="E8" s="220" t="s">
        <v>239</v>
      </c>
      <c r="F8" s="17" t="s">
        <v>10</v>
      </c>
      <c r="G8" s="100"/>
      <c r="H8" s="101">
        <v>5.2</v>
      </c>
      <c r="I8" s="101"/>
      <c r="J8" s="101"/>
      <c r="K8" s="101"/>
      <c r="L8" s="101">
        <v>4.8</v>
      </c>
      <c r="M8" s="102"/>
      <c r="N8" s="67">
        <f t="shared" si="0"/>
        <v>0</v>
      </c>
      <c r="O8" s="67">
        <f t="shared" si="1"/>
        <v>0</v>
      </c>
      <c r="P8" s="100"/>
      <c r="Q8" s="101"/>
      <c r="R8" s="101"/>
      <c r="S8" s="101"/>
      <c r="T8" s="101"/>
      <c r="U8" s="100"/>
      <c r="V8" s="102"/>
      <c r="W8" s="171"/>
    </row>
    <row r="9" spans="1:23" s="13" customFormat="1" x14ac:dyDescent="0.45">
      <c r="A9" s="231"/>
      <c r="B9" s="241"/>
      <c r="C9" s="234"/>
      <c r="D9" s="224"/>
      <c r="E9" s="221"/>
      <c r="F9" s="45" t="s">
        <v>13</v>
      </c>
      <c r="G9" s="101"/>
      <c r="H9" s="100">
        <v>188873</v>
      </c>
      <c r="I9" s="101"/>
      <c r="J9" s="101"/>
      <c r="K9" s="101"/>
      <c r="L9" s="183">
        <v>164031.46544182778</v>
      </c>
      <c r="M9" s="102"/>
      <c r="N9" s="67">
        <f>IF(AND(H9=""),0,IF(OR(H9=""),2,3))</f>
        <v>3</v>
      </c>
      <c r="O9" s="67">
        <f t="shared" si="1"/>
        <v>0</v>
      </c>
      <c r="P9" s="100"/>
      <c r="Q9" s="101"/>
      <c r="R9" s="101"/>
      <c r="S9" s="101"/>
      <c r="T9" s="101"/>
      <c r="U9" s="100"/>
      <c r="V9" s="102"/>
      <c r="W9" s="171"/>
    </row>
    <row r="10" spans="1:23" s="13" customFormat="1" x14ac:dyDescent="0.45">
      <c r="A10" s="231"/>
      <c r="B10" s="241"/>
      <c r="C10" s="234"/>
      <c r="D10" s="224"/>
      <c r="E10" s="222"/>
      <c r="F10" s="45" t="s">
        <v>8</v>
      </c>
      <c r="G10" s="101"/>
      <c r="H10" s="100">
        <v>3604267</v>
      </c>
      <c r="I10" s="101"/>
      <c r="J10" s="101"/>
      <c r="K10" s="101"/>
      <c r="L10" s="183">
        <v>3419787.9838463953</v>
      </c>
      <c r="M10" s="102"/>
      <c r="N10" s="67">
        <f>IF(AND(H10=""),0,IF(OR(H10=""),2,3))</f>
        <v>3</v>
      </c>
      <c r="O10" s="67">
        <f t="shared" si="1"/>
        <v>0</v>
      </c>
      <c r="P10" s="100"/>
      <c r="Q10" s="101"/>
      <c r="R10" s="101"/>
      <c r="S10" s="101"/>
      <c r="T10" s="101"/>
      <c r="U10" s="100"/>
      <c r="V10" s="102"/>
      <c r="W10" s="171"/>
    </row>
    <row r="11" spans="1:23" s="13" customFormat="1" x14ac:dyDescent="0.45">
      <c r="A11" s="231"/>
      <c r="B11" s="241"/>
      <c r="C11" s="234"/>
      <c r="D11" s="224"/>
      <c r="E11" s="220" t="s">
        <v>243</v>
      </c>
      <c r="F11" s="17" t="s">
        <v>14</v>
      </c>
      <c r="G11" s="100"/>
      <c r="H11" s="101">
        <v>6.3</v>
      </c>
      <c r="I11" s="101"/>
      <c r="J11" s="101"/>
      <c r="K11" s="101"/>
      <c r="L11" s="101">
        <v>4.8</v>
      </c>
      <c r="M11" s="102"/>
      <c r="N11" s="67">
        <f t="shared" si="0"/>
        <v>0</v>
      </c>
      <c r="O11" s="67">
        <f t="shared" si="1"/>
        <v>0</v>
      </c>
      <c r="P11" s="100"/>
      <c r="Q11" s="101"/>
      <c r="R11" s="101"/>
      <c r="S11" s="101"/>
      <c r="T11" s="101"/>
      <c r="U11" s="100"/>
      <c r="V11" s="102"/>
      <c r="W11" s="171"/>
    </row>
    <row r="12" spans="1:23" s="13" customFormat="1" x14ac:dyDescent="0.45">
      <c r="A12" s="231"/>
      <c r="B12" s="241"/>
      <c r="C12" s="234"/>
      <c r="D12" s="224"/>
      <c r="E12" s="221"/>
      <c r="F12" s="45" t="s">
        <v>15</v>
      </c>
      <c r="G12" s="100"/>
      <c r="H12" s="101">
        <v>129383</v>
      </c>
      <c r="I12" s="101"/>
      <c r="J12" s="101"/>
      <c r="K12" s="101"/>
      <c r="L12" s="183">
        <v>89692.423044654424</v>
      </c>
      <c r="M12" s="102"/>
      <c r="N12" s="67">
        <f t="shared" si="0"/>
        <v>0</v>
      </c>
      <c r="O12" s="67">
        <f t="shared" si="1"/>
        <v>0</v>
      </c>
      <c r="P12" s="100"/>
      <c r="Q12" s="101"/>
      <c r="R12" s="101"/>
      <c r="S12" s="101"/>
      <c r="T12" s="101"/>
      <c r="U12" s="100"/>
      <c r="V12" s="102"/>
      <c r="W12" s="171"/>
    </row>
    <row r="13" spans="1:23" s="13" customFormat="1" x14ac:dyDescent="0.45">
      <c r="A13" s="231"/>
      <c r="B13" s="241"/>
      <c r="C13" s="234"/>
      <c r="D13" s="224"/>
      <c r="E13" s="221"/>
      <c r="F13" s="45" t="s">
        <v>9</v>
      </c>
      <c r="G13" s="100"/>
      <c r="H13" s="101">
        <v>2062503</v>
      </c>
      <c r="I13" s="101"/>
      <c r="J13" s="101"/>
      <c r="K13" s="101"/>
      <c r="L13" s="183">
        <v>1884711.6497321883</v>
      </c>
      <c r="M13" s="102"/>
      <c r="N13" s="67">
        <f t="shared" si="0"/>
        <v>0</v>
      </c>
      <c r="O13" s="67">
        <f t="shared" si="1"/>
        <v>0</v>
      </c>
      <c r="P13" s="100"/>
      <c r="Q13" s="101"/>
      <c r="R13" s="101"/>
      <c r="S13" s="101"/>
      <c r="T13" s="101"/>
      <c r="U13" s="100"/>
      <c r="V13" s="102"/>
      <c r="W13" s="171"/>
    </row>
    <row r="14" spans="1:23" s="13" customFormat="1" x14ac:dyDescent="0.45">
      <c r="A14" s="231"/>
      <c r="B14" s="241"/>
      <c r="C14" s="234"/>
      <c r="D14" s="224"/>
      <c r="E14" s="221"/>
      <c r="F14" s="17" t="s">
        <v>11</v>
      </c>
      <c r="G14" s="100"/>
      <c r="H14" s="101">
        <v>3.9</v>
      </c>
      <c r="I14" s="101"/>
      <c r="J14" s="101"/>
      <c r="K14" s="101"/>
      <c r="L14" s="101">
        <v>4.8</v>
      </c>
      <c r="M14" s="102"/>
      <c r="N14" s="67">
        <f t="shared" si="0"/>
        <v>0</v>
      </c>
      <c r="O14" s="67">
        <f t="shared" si="1"/>
        <v>0</v>
      </c>
      <c r="P14" s="100"/>
      <c r="Q14" s="101"/>
      <c r="R14" s="101"/>
      <c r="S14" s="101"/>
      <c r="T14" s="101"/>
      <c r="U14" s="100"/>
      <c r="V14" s="102"/>
      <c r="W14" s="171"/>
    </row>
    <row r="15" spans="1:23" s="13" customFormat="1" x14ac:dyDescent="0.45">
      <c r="A15" s="231"/>
      <c r="B15" s="241"/>
      <c r="C15" s="234"/>
      <c r="D15" s="224"/>
      <c r="E15" s="221"/>
      <c r="F15" s="45" t="s">
        <v>16</v>
      </c>
      <c r="G15" s="100"/>
      <c r="H15" s="101">
        <v>59490</v>
      </c>
      <c r="I15" s="101"/>
      <c r="J15" s="101"/>
      <c r="K15" s="101"/>
      <c r="L15" s="183">
        <v>74339.042397173471</v>
      </c>
      <c r="M15" s="102"/>
      <c r="N15" s="67">
        <f t="shared" si="0"/>
        <v>0</v>
      </c>
      <c r="O15" s="67">
        <f t="shared" si="1"/>
        <v>0</v>
      </c>
      <c r="P15" s="100"/>
      <c r="Q15" s="101"/>
      <c r="R15" s="101"/>
      <c r="S15" s="101"/>
      <c r="T15" s="101"/>
      <c r="U15" s="100"/>
      <c r="V15" s="102"/>
      <c r="W15" s="171"/>
    </row>
    <row r="16" spans="1:23" s="13" customFormat="1" x14ac:dyDescent="0.45">
      <c r="A16" s="231"/>
      <c r="B16" s="241"/>
      <c r="C16" s="234"/>
      <c r="D16" s="224"/>
      <c r="E16" s="222"/>
      <c r="F16" s="45" t="s">
        <v>12</v>
      </c>
      <c r="G16" s="100"/>
      <c r="H16" s="101">
        <v>1541764</v>
      </c>
      <c r="I16" s="101"/>
      <c r="J16" s="101"/>
      <c r="K16" s="101"/>
      <c r="L16" s="183">
        <v>1535076.3341142363</v>
      </c>
      <c r="M16" s="102"/>
      <c r="N16" s="67">
        <f t="shared" si="0"/>
        <v>0</v>
      </c>
      <c r="O16" s="67">
        <f t="shared" si="1"/>
        <v>0</v>
      </c>
      <c r="P16" s="100"/>
      <c r="Q16" s="101"/>
      <c r="R16" s="101"/>
      <c r="S16" s="101"/>
      <c r="T16" s="101"/>
      <c r="U16" s="100"/>
      <c r="V16" s="102"/>
      <c r="W16" s="171"/>
    </row>
    <row r="17" spans="1:23" s="13" customFormat="1" x14ac:dyDescent="0.45">
      <c r="A17" s="231"/>
      <c r="B17" s="241"/>
      <c r="C17" s="234"/>
      <c r="D17" s="224"/>
      <c r="E17" s="220" t="s">
        <v>244</v>
      </c>
      <c r="F17" s="17" t="s">
        <v>17</v>
      </c>
      <c r="G17" s="100"/>
      <c r="H17" s="101">
        <v>6</v>
      </c>
      <c r="I17" s="101"/>
      <c r="J17" s="101"/>
      <c r="K17" s="101"/>
      <c r="L17" s="101">
        <v>7.6</v>
      </c>
      <c r="M17" s="102"/>
      <c r="N17" s="67">
        <f t="shared" si="0"/>
        <v>0</v>
      </c>
      <c r="O17" s="67">
        <f t="shared" si="1"/>
        <v>0</v>
      </c>
      <c r="P17" s="100"/>
      <c r="Q17" s="101"/>
      <c r="R17" s="101"/>
      <c r="S17" s="101"/>
      <c r="T17" s="101"/>
      <c r="U17" s="100"/>
      <c r="V17" s="102"/>
      <c r="W17" s="171"/>
    </row>
    <row r="18" spans="1:23" s="13" customFormat="1" ht="18.75" customHeight="1" x14ac:dyDescent="0.45">
      <c r="A18" s="231"/>
      <c r="B18" s="241"/>
      <c r="C18" s="234"/>
      <c r="D18" s="224"/>
      <c r="E18" s="221"/>
      <c r="F18" s="45" t="s">
        <v>24</v>
      </c>
      <c r="G18" s="100"/>
      <c r="H18" s="101">
        <v>58648</v>
      </c>
      <c r="I18" s="101"/>
      <c r="J18" s="101"/>
      <c r="K18" s="101"/>
      <c r="L18" s="183">
        <v>37934.242545192195</v>
      </c>
      <c r="M18" s="102"/>
      <c r="N18" s="67">
        <f t="shared" si="0"/>
        <v>0</v>
      </c>
      <c r="O18" s="67">
        <f t="shared" si="1"/>
        <v>0</v>
      </c>
      <c r="P18" s="100"/>
      <c r="Q18" s="101"/>
      <c r="R18" s="101"/>
      <c r="S18" s="101"/>
      <c r="T18" s="101"/>
      <c r="U18" s="100"/>
      <c r="V18" s="102"/>
      <c r="W18" s="171"/>
    </row>
    <row r="19" spans="1:23" s="13" customFormat="1" x14ac:dyDescent="0.45">
      <c r="A19" s="231"/>
      <c r="B19" s="241"/>
      <c r="C19" s="234"/>
      <c r="D19" s="224"/>
      <c r="E19" s="221"/>
      <c r="F19" s="45" t="s">
        <v>23</v>
      </c>
      <c r="G19" s="100"/>
      <c r="H19" s="101">
        <v>970464</v>
      </c>
      <c r="I19" s="101"/>
      <c r="J19" s="101"/>
      <c r="K19" s="101"/>
      <c r="L19" s="183">
        <v>502164.00032254693</v>
      </c>
      <c r="M19" s="102"/>
      <c r="N19" s="67">
        <f t="shared" si="0"/>
        <v>0</v>
      </c>
      <c r="O19" s="67">
        <f t="shared" si="1"/>
        <v>0</v>
      </c>
      <c r="P19" s="100"/>
      <c r="Q19" s="101"/>
      <c r="R19" s="101"/>
      <c r="S19" s="101"/>
      <c r="T19" s="101"/>
      <c r="U19" s="100"/>
      <c r="V19" s="102"/>
      <c r="W19" s="171"/>
    </row>
    <row r="20" spans="1:23" s="13" customFormat="1" x14ac:dyDescent="0.45">
      <c r="A20" s="231"/>
      <c r="B20" s="241"/>
      <c r="C20" s="234"/>
      <c r="D20" s="224"/>
      <c r="E20" s="221"/>
      <c r="F20" s="17" t="s">
        <v>18</v>
      </c>
      <c r="G20" s="100"/>
      <c r="H20" s="101">
        <v>8.6</v>
      </c>
      <c r="I20" s="101"/>
      <c r="J20" s="101"/>
      <c r="K20" s="101"/>
      <c r="L20" s="101">
        <v>7.8</v>
      </c>
      <c r="M20" s="102"/>
      <c r="N20" s="67">
        <f t="shared" si="0"/>
        <v>0</v>
      </c>
      <c r="O20" s="67">
        <f t="shared" si="1"/>
        <v>0</v>
      </c>
      <c r="P20" s="100"/>
      <c r="Q20" s="101"/>
      <c r="R20" s="101"/>
      <c r="S20" s="101"/>
      <c r="T20" s="101"/>
      <c r="U20" s="100"/>
      <c r="V20" s="102"/>
      <c r="W20" s="168"/>
    </row>
    <row r="21" spans="1:23" s="13" customFormat="1" x14ac:dyDescent="0.45">
      <c r="A21" s="231"/>
      <c r="B21" s="241"/>
      <c r="C21" s="234"/>
      <c r="D21" s="224"/>
      <c r="E21" s="221"/>
      <c r="F21" s="45" t="s">
        <v>22</v>
      </c>
      <c r="G21" s="100"/>
      <c r="H21" s="101">
        <v>84460</v>
      </c>
      <c r="I21" s="101"/>
      <c r="J21" s="101"/>
      <c r="K21" s="101"/>
      <c r="L21" s="183">
        <v>74991.668344777427</v>
      </c>
      <c r="M21" s="102"/>
      <c r="N21" s="67">
        <f t="shared" si="0"/>
        <v>0</v>
      </c>
      <c r="O21" s="67">
        <f t="shared" si="1"/>
        <v>0</v>
      </c>
      <c r="P21" s="100"/>
      <c r="Q21" s="101"/>
      <c r="R21" s="101"/>
      <c r="S21" s="101"/>
      <c r="T21" s="101"/>
      <c r="U21" s="100"/>
      <c r="V21" s="102"/>
      <c r="W21" s="168"/>
    </row>
    <row r="22" spans="1:23" s="13" customFormat="1" x14ac:dyDescent="0.45">
      <c r="A22" s="231"/>
      <c r="B22" s="241"/>
      <c r="C22" s="234"/>
      <c r="D22" s="224"/>
      <c r="E22" s="221"/>
      <c r="F22" s="45" t="s">
        <v>25</v>
      </c>
      <c r="G22" s="100"/>
      <c r="H22" s="101">
        <v>979095</v>
      </c>
      <c r="I22" s="101"/>
      <c r="J22" s="101"/>
      <c r="K22" s="101"/>
      <c r="L22" s="183">
        <v>958124.55606948957</v>
      </c>
      <c r="M22" s="102"/>
      <c r="N22" s="67">
        <f t="shared" si="0"/>
        <v>0</v>
      </c>
      <c r="O22" s="67">
        <f t="shared" si="1"/>
        <v>0</v>
      </c>
      <c r="P22" s="100"/>
      <c r="Q22" s="101"/>
      <c r="R22" s="101"/>
      <c r="S22" s="101"/>
      <c r="T22" s="101"/>
      <c r="U22" s="100"/>
      <c r="V22" s="102"/>
      <c r="W22" s="168"/>
    </row>
    <row r="23" spans="1:23" s="13" customFormat="1" x14ac:dyDescent="0.45">
      <c r="A23" s="231"/>
      <c r="B23" s="241"/>
      <c r="C23" s="234"/>
      <c r="D23" s="224"/>
      <c r="E23" s="221"/>
      <c r="F23" s="17" t="s">
        <v>19</v>
      </c>
      <c r="G23" s="100"/>
      <c r="H23" s="101">
        <v>3.1</v>
      </c>
      <c r="I23" s="101"/>
      <c r="J23" s="101"/>
      <c r="K23" s="101"/>
      <c r="L23" s="101">
        <v>2.8</v>
      </c>
      <c r="M23" s="102"/>
      <c r="N23" s="67">
        <f t="shared" si="0"/>
        <v>0</v>
      </c>
      <c r="O23" s="67">
        <f t="shared" si="1"/>
        <v>0</v>
      </c>
      <c r="P23" s="100"/>
      <c r="Q23" s="101"/>
      <c r="R23" s="101"/>
      <c r="S23" s="101"/>
      <c r="T23" s="101"/>
      <c r="U23" s="100"/>
      <c r="V23" s="102"/>
      <c r="W23" s="168"/>
    </row>
    <row r="24" spans="1:23" s="13" customFormat="1" x14ac:dyDescent="0.45">
      <c r="A24" s="231"/>
      <c r="B24" s="241"/>
      <c r="C24" s="234"/>
      <c r="D24" s="224"/>
      <c r="E24" s="221"/>
      <c r="F24" s="45" t="s">
        <v>26</v>
      </c>
      <c r="G24" s="100"/>
      <c r="H24" s="101">
        <v>22135</v>
      </c>
      <c r="I24" s="101"/>
      <c r="J24" s="101"/>
      <c r="K24" s="101"/>
      <c r="L24" s="183">
        <v>23822.322097048211</v>
      </c>
      <c r="M24" s="102"/>
      <c r="N24" s="67">
        <f t="shared" si="0"/>
        <v>0</v>
      </c>
      <c r="O24" s="67">
        <f t="shared" si="1"/>
        <v>0</v>
      </c>
      <c r="P24" s="100"/>
      <c r="Q24" s="101"/>
      <c r="R24" s="101"/>
      <c r="S24" s="101"/>
      <c r="T24" s="101"/>
      <c r="U24" s="100"/>
      <c r="V24" s="102"/>
      <c r="W24" s="168"/>
    </row>
    <row r="25" spans="1:23" s="13" customFormat="1" x14ac:dyDescent="0.45">
      <c r="A25" s="231"/>
      <c r="B25" s="241"/>
      <c r="C25" s="234"/>
      <c r="D25" s="224"/>
      <c r="E25" s="221"/>
      <c r="F25" s="45" t="s">
        <v>27</v>
      </c>
      <c r="G25" s="100"/>
      <c r="H25" s="101">
        <v>707817</v>
      </c>
      <c r="I25" s="101"/>
      <c r="J25" s="101"/>
      <c r="K25" s="101"/>
      <c r="L25" s="183">
        <v>850890.26964054047</v>
      </c>
      <c r="M25" s="102"/>
      <c r="N25" s="67">
        <f t="shared" si="0"/>
        <v>0</v>
      </c>
      <c r="O25" s="67">
        <f t="shared" si="1"/>
        <v>0</v>
      </c>
      <c r="P25" s="100"/>
      <c r="Q25" s="101"/>
      <c r="R25" s="101"/>
      <c r="S25" s="101"/>
      <c r="T25" s="101"/>
      <c r="U25" s="100"/>
      <c r="V25" s="102"/>
      <c r="W25" s="168"/>
    </row>
    <row r="26" spans="1:23" s="13" customFormat="1" x14ac:dyDescent="0.45">
      <c r="A26" s="231"/>
      <c r="B26" s="241"/>
      <c r="C26" s="234"/>
      <c r="D26" s="224"/>
      <c r="E26" s="221"/>
      <c r="F26" s="17" t="s">
        <v>20</v>
      </c>
      <c r="G26" s="100"/>
      <c r="H26" s="101">
        <v>2.4</v>
      </c>
      <c r="I26" s="101"/>
      <c r="J26" s="101"/>
      <c r="K26" s="101"/>
      <c r="L26" s="101">
        <v>2.6</v>
      </c>
      <c r="M26" s="102"/>
      <c r="N26" s="67">
        <f t="shared" si="0"/>
        <v>0</v>
      </c>
      <c r="O26" s="67">
        <f t="shared" si="1"/>
        <v>0</v>
      </c>
      <c r="P26" s="100"/>
      <c r="Q26" s="101"/>
      <c r="R26" s="101"/>
      <c r="S26" s="101"/>
      <c r="T26" s="101"/>
      <c r="U26" s="100"/>
      <c r="V26" s="102"/>
      <c r="W26" s="168"/>
    </row>
    <row r="27" spans="1:23" s="13" customFormat="1" x14ac:dyDescent="0.45">
      <c r="A27" s="231"/>
      <c r="B27" s="241"/>
      <c r="C27" s="234"/>
      <c r="D27" s="224"/>
      <c r="E27" s="221"/>
      <c r="F27" s="45" t="s">
        <v>28</v>
      </c>
      <c r="G27" s="100"/>
      <c r="H27" s="101">
        <v>11457</v>
      </c>
      <c r="I27" s="101"/>
      <c r="J27" s="101"/>
      <c r="K27" s="101"/>
      <c r="L27" s="183">
        <v>14870.65868620766</v>
      </c>
      <c r="M27" s="102"/>
      <c r="N27" s="67">
        <f t="shared" si="0"/>
        <v>0</v>
      </c>
      <c r="O27" s="67">
        <f t="shared" si="1"/>
        <v>0</v>
      </c>
      <c r="P27" s="100"/>
      <c r="Q27" s="101"/>
      <c r="R27" s="101"/>
      <c r="S27" s="101"/>
      <c r="T27" s="101"/>
      <c r="U27" s="100"/>
      <c r="V27" s="102"/>
      <c r="W27" s="168"/>
    </row>
    <row r="28" spans="1:23" s="13" customFormat="1" x14ac:dyDescent="0.45">
      <c r="A28" s="231"/>
      <c r="B28" s="241"/>
      <c r="C28" s="234"/>
      <c r="D28" s="224"/>
      <c r="E28" s="221"/>
      <c r="F28" s="45" t="s">
        <v>29</v>
      </c>
      <c r="G28" s="100"/>
      <c r="H28" s="101">
        <v>482177</v>
      </c>
      <c r="I28" s="101"/>
      <c r="J28" s="101"/>
      <c r="K28" s="101"/>
      <c r="L28" s="183">
        <v>561844.90039028996</v>
      </c>
      <c r="M28" s="102"/>
      <c r="N28" s="67">
        <f t="shared" si="0"/>
        <v>0</v>
      </c>
      <c r="O28" s="67">
        <f t="shared" si="1"/>
        <v>0</v>
      </c>
      <c r="P28" s="100"/>
      <c r="Q28" s="101"/>
      <c r="R28" s="101"/>
      <c r="S28" s="101"/>
      <c r="T28" s="101"/>
      <c r="U28" s="100"/>
      <c r="V28" s="102"/>
      <c r="W28" s="168"/>
    </row>
    <row r="29" spans="1:23" s="13" customFormat="1" x14ac:dyDescent="0.45">
      <c r="A29" s="231"/>
      <c r="B29" s="241"/>
      <c r="C29" s="234"/>
      <c r="D29" s="224"/>
      <c r="E29" s="221"/>
      <c r="F29" s="17" t="s">
        <v>21</v>
      </c>
      <c r="G29" s="100"/>
      <c r="H29" s="101">
        <v>2.6</v>
      </c>
      <c r="I29" s="101"/>
      <c r="J29" s="101"/>
      <c r="K29" s="101"/>
      <c r="L29" s="101">
        <v>2.2999999999999998</v>
      </c>
      <c r="M29" s="102"/>
      <c r="N29" s="67">
        <f t="shared" si="0"/>
        <v>0</v>
      </c>
      <c r="O29" s="67">
        <f t="shared" si="1"/>
        <v>0</v>
      </c>
      <c r="P29" s="100"/>
      <c r="Q29" s="101"/>
      <c r="R29" s="101"/>
      <c r="S29" s="101"/>
      <c r="T29" s="101"/>
      <c r="U29" s="100"/>
      <c r="V29" s="102"/>
      <c r="W29" s="168"/>
    </row>
    <row r="30" spans="1:23" s="13" customFormat="1" x14ac:dyDescent="0.45">
      <c r="A30" s="231"/>
      <c r="B30" s="241"/>
      <c r="C30" s="234"/>
      <c r="D30" s="224"/>
      <c r="E30" s="221"/>
      <c r="F30" s="45" t="s">
        <v>30</v>
      </c>
      <c r="G30" s="100"/>
      <c r="H30" s="101">
        <v>12173</v>
      </c>
      <c r="I30" s="101"/>
      <c r="J30" s="101"/>
      <c r="K30" s="101"/>
      <c r="L30" s="183">
        <v>12412.573768602397</v>
      </c>
      <c r="M30" s="102"/>
      <c r="N30" s="67">
        <f t="shared" si="0"/>
        <v>0</v>
      </c>
      <c r="O30" s="67">
        <f t="shared" si="1"/>
        <v>0</v>
      </c>
      <c r="P30" s="100"/>
      <c r="Q30" s="101"/>
      <c r="R30" s="101"/>
      <c r="S30" s="101"/>
      <c r="T30" s="101"/>
      <c r="U30" s="100"/>
      <c r="V30" s="102"/>
      <c r="W30" s="168"/>
    </row>
    <row r="31" spans="1:23" s="13" customFormat="1" x14ac:dyDescent="0.45">
      <c r="A31" s="231"/>
      <c r="B31" s="241"/>
      <c r="C31" s="234"/>
      <c r="D31" s="224"/>
      <c r="E31" s="222"/>
      <c r="F31" s="45" t="s">
        <v>31</v>
      </c>
      <c r="G31" s="100"/>
      <c r="H31" s="101">
        <v>464714</v>
      </c>
      <c r="I31" s="101"/>
      <c r="J31" s="101"/>
      <c r="K31" s="101"/>
      <c r="L31" s="183">
        <v>546764.25742353674</v>
      </c>
      <c r="M31" s="102"/>
      <c r="N31" s="67">
        <f t="shared" si="0"/>
        <v>0</v>
      </c>
      <c r="O31" s="67">
        <f t="shared" si="1"/>
        <v>0</v>
      </c>
      <c r="P31" s="100"/>
      <c r="Q31" s="101"/>
      <c r="R31" s="101"/>
      <c r="S31" s="101"/>
      <c r="T31" s="101"/>
      <c r="U31" s="100"/>
      <c r="V31" s="102"/>
      <c r="W31" s="168"/>
    </row>
    <row r="32" spans="1:23" s="13" customFormat="1" x14ac:dyDescent="0.45">
      <c r="A32" s="231"/>
      <c r="B32" s="241"/>
      <c r="C32" s="234"/>
      <c r="D32" s="224"/>
      <c r="E32" s="220" t="s">
        <v>246</v>
      </c>
      <c r="F32" s="17" t="s">
        <v>32</v>
      </c>
      <c r="G32" s="100"/>
      <c r="H32" s="101">
        <v>11.1</v>
      </c>
      <c r="I32" s="101"/>
      <c r="J32" s="101"/>
      <c r="K32" s="101"/>
      <c r="L32" s="101">
        <v>9.5</v>
      </c>
      <c r="M32" s="102"/>
      <c r="N32" s="67">
        <f t="shared" si="0"/>
        <v>0</v>
      </c>
      <c r="O32" s="67">
        <f t="shared" si="1"/>
        <v>0</v>
      </c>
      <c r="P32" s="100"/>
      <c r="Q32" s="101"/>
      <c r="R32" s="101"/>
      <c r="S32" s="101"/>
      <c r="T32" s="101"/>
      <c r="U32" s="100"/>
      <c r="V32" s="102"/>
      <c r="W32" s="171"/>
    </row>
    <row r="33" spans="1:23" ht="18.75" customHeight="1" x14ac:dyDescent="0.45">
      <c r="A33" s="231"/>
      <c r="B33" s="241"/>
      <c r="C33" s="234"/>
      <c r="D33" s="224"/>
      <c r="E33" s="221"/>
      <c r="F33" s="45" t="s">
        <v>33</v>
      </c>
      <c r="G33" s="104"/>
      <c r="H33" s="105">
        <v>135049</v>
      </c>
      <c r="I33" s="105"/>
      <c r="J33" s="105"/>
      <c r="K33" s="105"/>
      <c r="L33" s="184">
        <v>115747.82486887363</v>
      </c>
      <c r="M33" s="106"/>
      <c r="N33" s="67">
        <f t="shared" si="0"/>
        <v>0</v>
      </c>
      <c r="O33" s="67">
        <f t="shared" si="1"/>
        <v>0</v>
      </c>
      <c r="P33" s="100"/>
      <c r="Q33" s="105"/>
      <c r="R33" s="105"/>
      <c r="S33" s="105"/>
      <c r="T33" s="105"/>
      <c r="U33" s="100"/>
      <c r="V33" s="106"/>
      <c r="W33" s="171"/>
    </row>
    <row r="34" spans="1:23" x14ac:dyDescent="0.45">
      <c r="A34" s="231"/>
      <c r="B34" s="241"/>
      <c r="C34" s="234"/>
      <c r="D34" s="224"/>
      <c r="E34" s="221"/>
      <c r="F34" s="45" t="s">
        <v>34</v>
      </c>
      <c r="G34" s="104"/>
      <c r="H34" s="105">
        <v>1217123</v>
      </c>
      <c r="I34" s="105"/>
      <c r="J34" s="105"/>
      <c r="K34" s="105"/>
      <c r="L34" s="184">
        <v>1217761.584239068</v>
      </c>
      <c r="M34" s="106"/>
      <c r="N34" s="67">
        <f t="shared" si="0"/>
        <v>0</v>
      </c>
      <c r="O34" s="67">
        <f t="shared" si="1"/>
        <v>0</v>
      </c>
      <c r="P34" s="100"/>
      <c r="Q34" s="105"/>
      <c r="R34" s="105"/>
      <c r="S34" s="105"/>
      <c r="T34" s="105"/>
      <c r="U34" s="100"/>
      <c r="V34" s="106"/>
      <c r="W34" s="171"/>
    </row>
    <row r="35" spans="1:23" x14ac:dyDescent="0.45">
      <c r="A35" s="231"/>
      <c r="B35" s="241"/>
      <c r="C35" s="234"/>
      <c r="D35" s="224"/>
      <c r="E35" s="221"/>
      <c r="F35" s="17" t="s">
        <v>36</v>
      </c>
      <c r="G35" s="104"/>
      <c r="H35" s="105">
        <v>2.2999999999999998</v>
      </c>
      <c r="I35" s="105"/>
      <c r="J35" s="105"/>
      <c r="K35" s="105"/>
      <c r="L35" s="105">
        <v>2.2000000000000002</v>
      </c>
      <c r="M35" s="106"/>
      <c r="N35" s="67">
        <f t="shared" si="0"/>
        <v>0</v>
      </c>
      <c r="O35" s="67">
        <f t="shared" si="1"/>
        <v>0</v>
      </c>
      <c r="P35" s="100"/>
      <c r="Q35" s="105"/>
      <c r="R35" s="105"/>
      <c r="S35" s="105"/>
      <c r="T35" s="105"/>
      <c r="U35" s="100"/>
      <c r="V35" s="106"/>
      <c r="W35" s="171"/>
    </row>
    <row r="36" spans="1:23" x14ac:dyDescent="0.45">
      <c r="A36" s="231"/>
      <c r="B36" s="241"/>
      <c r="C36" s="234"/>
      <c r="D36" s="224"/>
      <c r="E36" s="221"/>
      <c r="F36" s="45" t="s">
        <v>35</v>
      </c>
      <c r="G36" s="104"/>
      <c r="H36" s="105">
        <v>53824</v>
      </c>
      <c r="I36" s="105"/>
      <c r="J36" s="105"/>
      <c r="K36" s="105"/>
      <c r="L36" s="184">
        <v>48283.640572954231</v>
      </c>
      <c r="M36" s="106"/>
      <c r="N36" s="67">
        <f t="shared" si="0"/>
        <v>0</v>
      </c>
      <c r="O36" s="67">
        <f t="shared" si="1"/>
        <v>0</v>
      </c>
      <c r="P36" s="100"/>
      <c r="Q36" s="105"/>
      <c r="R36" s="105"/>
      <c r="S36" s="105"/>
      <c r="T36" s="105"/>
      <c r="U36" s="100"/>
      <c r="V36" s="106"/>
      <c r="W36" s="171"/>
    </row>
    <row r="37" spans="1:23" x14ac:dyDescent="0.45">
      <c r="A37" s="231"/>
      <c r="B37" s="241"/>
      <c r="C37" s="234"/>
      <c r="D37" s="225"/>
      <c r="E37" s="222"/>
      <c r="F37" s="45" t="s">
        <v>37</v>
      </c>
      <c r="G37" s="104"/>
      <c r="H37" s="105">
        <v>2387144</v>
      </c>
      <c r="I37" s="105"/>
      <c r="J37" s="105"/>
      <c r="K37" s="105"/>
      <c r="L37" s="184">
        <v>2202026.3996073352</v>
      </c>
      <c r="M37" s="106"/>
      <c r="N37" s="67">
        <f t="shared" si="0"/>
        <v>0</v>
      </c>
      <c r="O37" s="67">
        <f t="shared" si="1"/>
        <v>0</v>
      </c>
      <c r="P37" s="100"/>
      <c r="Q37" s="105"/>
      <c r="R37" s="105"/>
      <c r="S37" s="105"/>
      <c r="T37" s="105"/>
      <c r="U37" s="100"/>
      <c r="V37" s="106"/>
      <c r="W37" s="171"/>
    </row>
    <row r="38" spans="1:23" x14ac:dyDescent="0.45">
      <c r="A38" s="231"/>
      <c r="B38" s="241"/>
      <c r="C38" s="234"/>
      <c r="D38" s="44" t="s">
        <v>220</v>
      </c>
      <c r="E38" s="46" t="s">
        <v>239</v>
      </c>
      <c r="F38" s="17" t="s">
        <v>38</v>
      </c>
      <c r="G38" s="104">
        <v>8.4</v>
      </c>
      <c r="H38" s="105"/>
      <c r="I38" s="105"/>
      <c r="J38" s="105"/>
      <c r="K38" s="105"/>
      <c r="L38" s="105"/>
      <c r="M38" s="106"/>
      <c r="N38" s="67">
        <f t="shared" si="0"/>
        <v>3</v>
      </c>
      <c r="O38" s="67">
        <f t="shared" si="1"/>
        <v>0</v>
      </c>
      <c r="P38" s="104"/>
      <c r="Q38" s="105"/>
      <c r="R38" s="105"/>
      <c r="S38" s="105"/>
      <c r="T38" s="105"/>
      <c r="U38" s="105"/>
      <c r="V38" s="106"/>
      <c r="W38" s="171"/>
    </row>
    <row r="39" spans="1:23" x14ac:dyDescent="0.45">
      <c r="A39" s="231"/>
      <c r="B39" s="241"/>
      <c r="C39" s="234"/>
      <c r="D39" s="226" t="s">
        <v>221</v>
      </c>
      <c r="E39" s="203" t="s">
        <v>239</v>
      </c>
      <c r="F39" s="17" t="s">
        <v>39</v>
      </c>
      <c r="G39" s="104">
        <v>55.2</v>
      </c>
      <c r="H39" s="105"/>
      <c r="I39" s="105"/>
      <c r="J39" s="105"/>
      <c r="K39" s="105"/>
      <c r="L39" s="105"/>
      <c r="M39" s="106"/>
      <c r="N39" s="67">
        <f t="shared" si="0"/>
        <v>3</v>
      </c>
      <c r="O39" s="67">
        <f t="shared" si="1"/>
        <v>0</v>
      </c>
      <c r="P39" s="104"/>
      <c r="Q39" s="105"/>
      <c r="R39" s="105"/>
      <c r="S39" s="105"/>
      <c r="T39" s="105"/>
      <c r="U39" s="105"/>
      <c r="V39" s="106"/>
      <c r="W39" s="168"/>
    </row>
    <row r="40" spans="1:23" x14ac:dyDescent="0.45">
      <c r="A40" s="231"/>
      <c r="B40" s="241"/>
      <c r="C40" s="234"/>
      <c r="D40" s="224"/>
      <c r="E40" s="201"/>
      <c r="F40" s="45" t="s">
        <v>40</v>
      </c>
      <c r="G40" s="186">
        <v>5704133.8153584544</v>
      </c>
      <c r="H40" s="105"/>
      <c r="I40" s="105"/>
      <c r="J40" s="105"/>
      <c r="K40" s="105"/>
      <c r="L40" s="105"/>
      <c r="M40" s="106"/>
      <c r="N40" s="67">
        <f t="shared" si="0"/>
        <v>3</v>
      </c>
      <c r="O40" s="67">
        <f t="shared" si="1"/>
        <v>0</v>
      </c>
      <c r="P40" s="104"/>
      <c r="Q40" s="105"/>
      <c r="R40" s="105"/>
      <c r="S40" s="105"/>
      <c r="T40" s="105"/>
      <c r="U40" s="105"/>
      <c r="V40" s="106"/>
      <c r="W40" s="168"/>
    </row>
    <row r="41" spans="1:23" x14ac:dyDescent="0.45">
      <c r="A41" s="231"/>
      <c r="B41" s="241"/>
      <c r="C41" s="234"/>
      <c r="D41" s="224"/>
      <c r="E41" s="202"/>
      <c r="F41" s="45" t="s">
        <v>3</v>
      </c>
      <c r="G41" s="186">
        <v>10333575.752460966</v>
      </c>
      <c r="H41" s="105"/>
      <c r="I41" s="105"/>
      <c r="J41" s="105"/>
      <c r="K41" s="105"/>
      <c r="L41" s="105"/>
      <c r="M41" s="106"/>
      <c r="N41" s="67">
        <f t="shared" si="0"/>
        <v>3</v>
      </c>
      <c r="O41" s="67">
        <f t="shared" si="1"/>
        <v>0</v>
      </c>
      <c r="P41" s="104"/>
      <c r="Q41" s="105"/>
      <c r="R41" s="105"/>
      <c r="S41" s="105"/>
      <c r="T41" s="105"/>
      <c r="U41" s="105"/>
      <c r="V41" s="106"/>
      <c r="W41" s="168"/>
    </row>
    <row r="42" spans="1:23" x14ac:dyDescent="0.45">
      <c r="A42" s="231"/>
      <c r="B42" s="241"/>
      <c r="C42" s="234"/>
      <c r="D42" s="224"/>
      <c r="E42" s="203" t="s">
        <v>243</v>
      </c>
      <c r="F42" s="17" t="s">
        <v>43</v>
      </c>
      <c r="G42" s="104"/>
      <c r="H42" s="105"/>
      <c r="I42" s="105"/>
      <c r="J42" s="105"/>
      <c r="K42" s="105"/>
      <c r="L42" s="105"/>
      <c r="M42" s="106"/>
      <c r="N42" s="67">
        <f t="shared" si="0"/>
        <v>0</v>
      </c>
      <c r="O42" s="67">
        <f t="shared" si="1"/>
        <v>0</v>
      </c>
      <c r="P42" s="104"/>
      <c r="Q42" s="105"/>
      <c r="R42" s="105"/>
      <c r="S42" s="105"/>
      <c r="T42" s="105"/>
      <c r="U42" s="105"/>
      <c r="V42" s="106"/>
      <c r="W42" s="168"/>
    </row>
    <row r="43" spans="1:23" x14ac:dyDescent="0.45">
      <c r="A43" s="231"/>
      <c r="B43" s="241"/>
      <c r="C43" s="234"/>
      <c r="D43" s="224"/>
      <c r="E43" s="201"/>
      <c r="F43" s="45" t="s">
        <v>41</v>
      </c>
      <c r="G43" s="104"/>
      <c r="H43" s="105"/>
      <c r="I43" s="105"/>
      <c r="J43" s="105"/>
      <c r="K43" s="105"/>
      <c r="L43" s="105"/>
      <c r="M43" s="106"/>
      <c r="N43" s="67">
        <f t="shared" si="0"/>
        <v>0</v>
      </c>
      <c r="O43" s="67">
        <f t="shared" si="1"/>
        <v>0</v>
      </c>
      <c r="P43" s="104"/>
      <c r="Q43" s="105"/>
      <c r="R43" s="105"/>
      <c r="S43" s="105"/>
      <c r="T43" s="105"/>
      <c r="U43" s="105"/>
      <c r="V43" s="106"/>
      <c r="W43" s="168"/>
    </row>
    <row r="44" spans="1:23" x14ac:dyDescent="0.45">
      <c r="A44" s="231"/>
      <c r="B44" s="241"/>
      <c r="C44" s="234"/>
      <c r="D44" s="224"/>
      <c r="E44" s="201"/>
      <c r="F44" s="45" t="s">
        <v>42</v>
      </c>
      <c r="G44" s="104"/>
      <c r="H44" s="105"/>
      <c r="I44" s="105"/>
      <c r="J44" s="105"/>
      <c r="K44" s="105"/>
      <c r="L44" s="105"/>
      <c r="M44" s="106"/>
      <c r="N44" s="67">
        <f t="shared" si="0"/>
        <v>0</v>
      </c>
      <c r="O44" s="67">
        <f t="shared" si="1"/>
        <v>0</v>
      </c>
      <c r="P44" s="104"/>
      <c r="Q44" s="105"/>
      <c r="R44" s="105"/>
      <c r="S44" s="105"/>
      <c r="T44" s="105"/>
      <c r="U44" s="105"/>
      <c r="V44" s="106"/>
      <c r="W44" s="168"/>
    </row>
    <row r="45" spans="1:23" x14ac:dyDescent="0.45">
      <c r="A45" s="231"/>
      <c r="B45" s="241"/>
      <c r="C45" s="234"/>
      <c r="D45" s="224"/>
      <c r="E45" s="201"/>
      <c r="F45" s="17" t="s">
        <v>44</v>
      </c>
      <c r="G45" s="104"/>
      <c r="H45" s="105"/>
      <c r="I45" s="105"/>
      <c r="J45" s="105"/>
      <c r="K45" s="105"/>
      <c r="L45" s="105"/>
      <c r="M45" s="106"/>
      <c r="N45" s="67">
        <f t="shared" si="0"/>
        <v>0</v>
      </c>
      <c r="O45" s="67">
        <f t="shared" si="1"/>
        <v>0</v>
      </c>
      <c r="P45" s="104"/>
      <c r="Q45" s="105"/>
      <c r="R45" s="105"/>
      <c r="S45" s="105"/>
      <c r="T45" s="105"/>
      <c r="U45" s="105"/>
      <c r="V45" s="106"/>
      <c r="W45" s="168"/>
    </row>
    <row r="46" spans="1:23" x14ac:dyDescent="0.45">
      <c r="A46" s="231"/>
      <c r="B46" s="241"/>
      <c r="C46" s="234"/>
      <c r="D46" s="224"/>
      <c r="E46" s="201"/>
      <c r="F46" s="45" t="s">
        <v>45</v>
      </c>
      <c r="G46" s="104"/>
      <c r="H46" s="105"/>
      <c r="I46" s="105"/>
      <c r="J46" s="105"/>
      <c r="K46" s="105"/>
      <c r="L46" s="105"/>
      <c r="M46" s="106"/>
      <c r="N46" s="67">
        <f t="shared" si="0"/>
        <v>0</v>
      </c>
      <c r="O46" s="67">
        <f t="shared" si="1"/>
        <v>0</v>
      </c>
      <c r="P46" s="104"/>
      <c r="Q46" s="105"/>
      <c r="R46" s="105"/>
      <c r="S46" s="105"/>
      <c r="T46" s="105"/>
      <c r="U46" s="105"/>
      <c r="V46" s="106"/>
      <c r="W46" s="168"/>
    </row>
    <row r="47" spans="1:23" x14ac:dyDescent="0.45">
      <c r="A47" s="231"/>
      <c r="B47" s="241"/>
      <c r="C47" s="234"/>
      <c r="D47" s="224"/>
      <c r="E47" s="202"/>
      <c r="F47" s="45" t="s">
        <v>47</v>
      </c>
      <c r="G47" s="104"/>
      <c r="H47" s="105"/>
      <c r="I47" s="105"/>
      <c r="J47" s="105"/>
      <c r="K47" s="105"/>
      <c r="L47" s="105"/>
      <c r="M47" s="106"/>
      <c r="N47" s="67">
        <f t="shared" si="0"/>
        <v>0</v>
      </c>
      <c r="O47" s="67">
        <f t="shared" si="1"/>
        <v>0</v>
      </c>
      <c r="P47" s="104"/>
      <c r="Q47" s="105"/>
      <c r="R47" s="105"/>
      <c r="S47" s="105"/>
      <c r="T47" s="105"/>
      <c r="U47" s="105"/>
      <c r="V47" s="106"/>
      <c r="W47" s="168"/>
    </row>
    <row r="48" spans="1:23" x14ac:dyDescent="0.45">
      <c r="A48" s="231"/>
      <c r="B48" s="241"/>
      <c r="C48" s="234"/>
      <c r="D48" s="224"/>
      <c r="E48" s="203" t="s">
        <v>246</v>
      </c>
      <c r="F48" s="17" t="s">
        <v>51</v>
      </c>
      <c r="G48" s="104">
        <v>35.4</v>
      </c>
      <c r="H48" s="105"/>
      <c r="I48" s="105"/>
      <c r="J48" s="105"/>
      <c r="K48" s="105"/>
      <c r="L48" s="105"/>
      <c r="M48" s="106"/>
      <c r="N48" s="67">
        <f t="shared" si="0"/>
        <v>3</v>
      </c>
      <c r="O48" s="67">
        <f t="shared" si="1"/>
        <v>0</v>
      </c>
      <c r="P48" s="104"/>
      <c r="Q48" s="105"/>
      <c r="R48" s="105"/>
      <c r="S48" s="105"/>
      <c r="T48" s="105"/>
      <c r="U48" s="105"/>
      <c r="V48" s="106"/>
      <c r="W48" s="168"/>
    </row>
    <row r="49" spans="1:23" ht="18.75" customHeight="1" x14ac:dyDescent="0.45">
      <c r="A49" s="231"/>
      <c r="B49" s="241"/>
      <c r="C49" s="234"/>
      <c r="D49" s="224"/>
      <c r="E49" s="201"/>
      <c r="F49" s="45" t="s">
        <v>48</v>
      </c>
      <c r="G49" s="186">
        <v>1271719.3304078076</v>
      </c>
      <c r="H49" s="105"/>
      <c r="I49" s="105"/>
      <c r="J49" s="105"/>
      <c r="K49" s="105"/>
      <c r="L49" s="105"/>
      <c r="M49" s="106"/>
      <c r="N49" s="67">
        <f t="shared" si="0"/>
        <v>3</v>
      </c>
      <c r="O49" s="67">
        <f t="shared" si="1"/>
        <v>0</v>
      </c>
      <c r="P49" s="104"/>
      <c r="Q49" s="105"/>
      <c r="R49" s="105"/>
      <c r="S49" s="105"/>
      <c r="T49" s="105"/>
      <c r="U49" s="105"/>
      <c r="V49" s="106"/>
      <c r="W49" s="168"/>
    </row>
    <row r="50" spans="1:23" x14ac:dyDescent="0.45">
      <c r="A50" s="231"/>
      <c r="B50" s="241"/>
      <c r="C50" s="234"/>
      <c r="D50" s="224"/>
      <c r="E50" s="201"/>
      <c r="F50" s="45" t="s">
        <v>46</v>
      </c>
      <c r="G50" s="186">
        <v>3592427.4870277052</v>
      </c>
      <c r="H50" s="105"/>
      <c r="I50" s="105"/>
      <c r="J50" s="105"/>
      <c r="K50" s="105"/>
      <c r="L50" s="105"/>
      <c r="M50" s="106"/>
      <c r="N50" s="67">
        <f t="shared" si="0"/>
        <v>3</v>
      </c>
      <c r="O50" s="67">
        <f t="shared" si="1"/>
        <v>0</v>
      </c>
      <c r="P50" s="104"/>
      <c r="Q50" s="105"/>
      <c r="R50" s="105"/>
      <c r="S50" s="105"/>
      <c r="T50" s="105"/>
      <c r="U50" s="105"/>
      <c r="V50" s="106"/>
      <c r="W50" s="168"/>
    </row>
    <row r="51" spans="1:23" x14ac:dyDescent="0.45">
      <c r="A51" s="231"/>
      <c r="B51" s="241"/>
      <c r="C51" s="234"/>
      <c r="D51" s="224"/>
      <c r="E51" s="201"/>
      <c r="F51" s="17" t="s">
        <v>52</v>
      </c>
      <c r="G51" s="104">
        <v>64.7</v>
      </c>
      <c r="H51" s="105"/>
      <c r="I51" s="105"/>
      <c r="J51" s="105"/>
      <c r="K51" s="105"/>
      <c r="L51" s="105"/>
      <c r="M51" s="106"/>
      <c r="N51" s="67">
        <f t="shared" si="0"/>
        <v>3</v>
      </c>
      <c r="O51" s="67">
        <f t="shared" si="1"/>
        <v>0</v>
      </c>
      <c r="P51" s="104"/>
      <c r="Q51" s="105"/>
      <c r="R51" s="105"/>
      <c r="S51" s="105"/>
      <c r="T51" s="105"/>
      <c r="U51" s="105"/>
      <c r="V51" s="106"/>
      <c r="W51" s="168"/>
    </row>
    <row r="52" spans="1:23" x14ac:dyDescent="0.45">
      <c r="A52" s="231"/>
      <c r="B52" s="241"/>
      <c r="C52" s="234"/>
      <c r="D52" s="224"/>
      <c r="E52" s="201"/>
      <c r="F52" s="45" t="s">
        <v>49</v>
      </c>
      <c r="G52" s="186">
        <f>G51*G53/100</f>
        <v>4361522.9277353194</v>
      </c>
      <c r="H52" s="105"/>
      <c r="I52" s="105"/>
      <c r="J52" s="105"/>
      <c r="K52" s="105"/>
      <c r="L52" s="105"/>
      <c r="M52" s="106"/>
      <c r="N52" s="67">
        <f t="shared" si="0"/>
        <v>3</v>
      </c>
      <c r="O52" s="67">
        <f t="shared" si="1"/>
        <v>0</v>
      </c>
      <c r="P52" s="104"/>
      <c r="Q52" s="105"/>
      <c r="R52" s="105"/>
      <c r="S52" s="105"/>
      <c r="T52" s="105"/>
      <c r="U52" s="105"/>
      <c r="V52" s="106"/>
      <c r="W52" s="168"/>
    </row>
    <row r="53" spans="1:23" x14ac:dyDescent="0.45">
      <c r="A53" s="231"/>
      <c r="B53" s="241"/>
      <c r="C53" s="234"/>
      <c r="D53" s="225"/>
      <c r="E53" s="202"/>
      <c r="F53" s="45" t="s">
        <v>50</v>
      </c>
      <c r="G53" s="186">
        <v>6741148.2654332602</v>
      </c>
      <c r="H53" s="105"/>
      <c r="I53" s="105"/>
      <c r="J53" s="105"/>
      <c r="K53" s="105"/>
      <c r="L53" s="105"/>
      <c r="M53" s="106"/>
      <c r="N53" s="67">
        <f t="shared" si="0"/>
        <v>3</v>
      </c>
      <c r="O53" s="67">
        <f t="shared" si="1"/>
        <v>0</v>
      </c>
      <c r="P53" s="104"/>
      <c r="Q53" s="105"/>
      <c r="R53" s="105"/>
      <c r="S53" s="105"/>
      <c r="T53" s="105"/>
      <c r="U53" s="105"/>
      <c r="V53" s="106"/>
      <c r="W53" s="168"/>
    </row>
    <row r="54" spans="1:23" x14ac:dyDescent="0.45">
      <c r="A54" s="231"/>
      <c r="B54" s="241"/>
      <c r="C54" s="234"/>
      <c r="D54" s="223" t="s">
        <v>223</v>
      </c>
      <c r="E54" s="47" t="s">
        <v>239</v>
      </c>
      <c r="F54" s="16" t="s">
        <v>215</v>
      </c>
      <c r="G54" s="104">
        <v>30.5</v>
      </c>
      <c r="H54" s="105"/>
      <c r="I54" s="105"/>
      <c r="J54" s="105"/>
      <c r="K54" s="105"/>
      <c r="L54" s="105">
        <v>21.8</v>
      </c>
      <c r="M54" s="106"/>
      <c r="N54" s="67">
        <f t="shared" si="0"/>
        <v>3</v>
      </c>
      <c r="O54" s="67">
        <f t="shared" si="1"/>
        <v>0</v>
      </c>
      <c r="P54" s="104"/>
      <c r="Q54" s="105"/>
      <c r="R54" s="105"/>
      <c r="S54" s="105"/>
      <c r="T54" s="105"/>
      <c r="U54" s="105"/>
      <c r="V54" s="106"/>
      <c r="W54" s="171"/>
    </row>
    <row r="55" spans="1:23" x14ac:dyDescent="0.45">
      <c r="A55" s="231"/>
      <c r="B55" s="241"/>
      <c r="C55" s="234"/>
      <c r="D55" s="224"/>
      <c r="E55" s="203" t="s">
        <v>246</v>
      </c>
      <c r="F55" s="45" t="s">
        <v>216</v>
      </c>
      <c r="G55" s="104">
        <v>23</v>
      </c>
      <c r="H55" s="105"/>
      <c r="I55" s="105"/>
      <c r="J55" s="105"/>
      <c r="K55" s="105"/>
      <c r="L55" s="105">
        <v>12.7</v>
      </c>
      <c r="M55" s="106"/>
      <c r="N55" s="67">
        <f t="shared" si="0"/>
        <v>3</v>
      </c>
      <c r="O55" s="67">
        <f t="shared" si="1"/>
        <v>0</v>
      </c>
      <c r="P55" s="104"/>
      <c r="Q55" s="105"/>
      <c r="R55" s="105"/>
      <c r="S55" s="105"/>
      <c r="T55" s="105"/>
      <c r="U55" s="105"/>
      <c r="V55" s="106"/>
      <c r="W55" s="168"/>
    </row>
    <row r="56" spans="1:23" ht="18.75" customHeight="1" x14ac:dyDescent="0.45">
      <c r="A56" s="231"/>
      <c r="B56" s="241"/>
      <c r="C56" s="234"/>
      <c r="D56" s="225"/>
      <c r="E56" s="202"/>
      <c r="F56" s="45" t="s">
        <v>217</v>
      </c>
      <c r="G56" s="104">
        <v>37</v>
      </c>
      <c r="H56" s="105"/>
      <c r="I56" s="105"/>
      <c r="J56" s="105"/>
      <c r="K56" s="105"/>
      <c r="L56" s="105">
        <v>25.7</v>
      </c>
      <c r="M56" s="106"/>
      <c r="N56" s="67">
        <f t="shared" si="0"/>
        <v>3</v>
      </c>
      <c r="O56" s="67">
        <f t="shared" si="1"/>
        <v>0</v>
      </c>
      <c r="P56" s="104"/>
      <c r="Q56" s="105"/>
      <c r="R56" s="105"/>
      <c r="S56" s="105"/>
      <c r="T56" s="105"/>
      <c r="U56" s="105"/>
      <c r="V56" s="106"/>
      <c r="W56" s="168"/>
    </row>
    <row r="57" spans="1:23" x14ac:dyDescent="0.45">
      <c r="A57" s="231"/>
      <c r="B57" s="241"/>
      <c r="C57" s="234"/>
      <c r="D57" s="223" t="s">
        <v>222</v>
      </c>
      <c r="E57" s="47" t="s">
        <v>239</v>
      </c>
      <c r="F57" s="16" t="s">
        <v>53</v>
      </c>
      <c r="G57" s="104">
        <v>65.8</v>
      </c>
      <c r="H57" s="105"/>
      <c r="I57" s="105"/>
      <c r="J57" s="105">
        <v>82.1</v>
      </c>
      <c r="K57" s="105"/>
      <c r="L57" s="105">
        <v>79.900000000000006</v>
      </c>
      <c r="M57" s="106"/>
      <c r="N57" s="67">
        <f t="shared" si="0"/>
        <v>3</v>
      </c>
      <c r="O57" s="67">
        <f t="shared" si="1"/>
        <v>0</v>
      </c>
      <c r="P57" s="104"/>
      <c r="Q57" s="105"/>
      <c r="R57" s="105"/>
      <c r="S57" s="105"/>
      <c r="T57" s="105"/>
      <c r="U57" s="105"/>
      <c r="V57" s="106"/>
      <c r="W57" s="171"/>
    </row>
    <row r="58" spans="1:23" x14ac:dyDescent="0.45">
      <c r="A58" s="231"/>
      <c r="B58" s="241"/>
      <c r="C58" s="234"/>
      <c r="D58" s="226"/>
      <c r="E58" s="203" t="s">
        <v>246</v>
      </c>
      <c r="F58" s="45" t="s">
        <v>55</v>
      </c>
      <c r="G58" s="104">
        <v>95.1</v>
      </c>
      <c r="H58" s="105"/>
      <c r="I58" s="105"/>
      <c r="J58" s="105">
        <v>98</v>
      </c>
      <c r="K58" s="105"/>
      <c r="L58" s="105">
        <v>97.4</v>
      </c>
      <c r="M58" s="106"/>
      <c r="N58" s="67">
        <f t="shared" si="0"/>
        <v>3</v>
      </c>
      <c r="O58" s="67">
        <f t="shared" si="1"/>
        <v>0</v>
      </c>
      <c r="P58" s="104"/>
      <c r="Q58" s="105"/>
      <c r="R58" s="105"/>
      <c r="S58" s="105"/>
      <c r="T58" s="105"/>
      <c r="U58" s="105"/>
      <c r="V58" s="106"/>
      <c r="W58" s="168"/>
    </row>
    <row r="59" spans="1:23" ht="18.75" customHeight="1" x14ac:dyDescent="0.45">
      <c r="A59" s="231"/>
      <c r="B59" s="241"/>
      <c r="C59" s="234"/>
      <c r="D59" s="226"/>
      <c r="E59" s="202"/>
      <c r="F59" s="45" t="s">
        <v>54</v>
      </c>
      <c r="G59" s="104">
        <v>66.5</v>
      </c>
      <c r="H59" s="105"/>
      <c r="I59" s="105"/>
      <c r="J59" s="105">
        <v>72.2</v>
      </c>
      <c r="K59" s="105"/>
      <c r="L59" s="105">
        <v>70.599999999999994</v>
      </c>
      <c r="M59" s="106"/>
      <c r="N59" s="67">
        <f t="shared" si="0"/>
        <v>3</v>
      </c>
      <c r="O59" s="67">
        <f t="shared" si="1"/>
        <v>0</v>
      </c>
      <c r="P59" s="104"/>
      <c r="Q59" s="105"/>
      <c r="R59" s="105"/>
      <c r="S59" s="105"/>
      <c r="T59" s="105"/>
      <c r="U59" s="105"/>
      <c r="V59" s="106"/>
      <c r="W59" s="168"/>
    </row>
    <row r="60" spans="1:23" x14ac:dyDescent="0.45">
      <c r="A60" s="231"/>
      <c r="B60" s="241"/>
      <c r="C60" s="234"/>
      <c r="D60" s="226" t="s">
        <v>224</v>
      </c>
      <c r="E60" s="47" t="s">
        <v>239</v>
      </c>
      <c r="F60" s="16" t="s">
        <v>56</v>
      </c>
      <c r="G60" s="104"/>
      <c r="H60" s="105"/>
      <c r="I60" s="105"/>
      <c r="J60" s="105"/>
      <c r="K60" s="105"/>
      <c r="L60" s="105"/>
      <c r="M60" s="106"/>
      <c r="N60" s="67">
        <f t="shared" si="0"/>
        <v>0</v>
      </c>
      <c r="O60" s="67">
        <f t="shared" si="1"/>
        <v>0</v>
      </c>
      <c r="P60" s="104"/>
      <c r="Q60" s="105"/>
      <c r="R60" s="105"/>
      <c r="S60" s="105"/>
      <c r="T60" s="105"/>
      <c r="U60" s="105"/>
      <c r="V60" s="106"/>
      <c r="W60" s="168"/>
    </row>
    <row r="61" spans="1:23" x14ac:dyDescent="0.45">
      <c r="A61" s="231"/>
      <c r="B61" s="241"/>
      <c r="C61" s="234"/>
      <c r="D61" s="224"/>
      <c r="E61" s="203" t="s">
        <v>246</v>
      </c>
      <c r="F61" s="45" t="s">
        <v>57</v>
      </c>
      <c r="G61" s="104"/>
      <c r="H61" s="105"/>
      <c r="I61" s="105"/>
      <c r="J61" s="105"/>
      <c r="K61" s="105"/>
      <c r="L61" s="105"/>
      <c r="M61" s="106"/>
      <c r="N61" s="67">
        <f t="shared" si="0"/>
        <v>0</v>
      </c>
      <c r="O61" s="67">
        <f t="shared" si="1"/>
        <v>0</v>
      </c>
      <c r="P61" s="104"/>
      <c r="Q61" s="105"/>
      <c r="R61" s="105"/>
      <c r="S61" s="105"/>
      <c r="T61" s="105"/>
      <c r="U61" s="105"/>
      <c r="V61" s="106"/>
      <c r="W61" s="168"/>
    </row>
    <row r="62" spans="1:23" ht="18.75" customHeight="1" x14ac:dyDescent="0.45">
      <c r="A62" s="231"/>
      <c r="B62" s="241"/>
      <c r="C62" s="234"/>
      <c r="D62" s="225"/>
      <c r="E62" s="202"/>
      <c r="F62" s="45" t="s">
        <v>58</v>
      </c>
      <c r="G62" s="104"/>
      <c r="H62" s="105"/>
      <c r="I62" s="105"/>
      <c r="J62" s="105"/>
      <c r="K62" s="105"/>
      <c r="L62" s="105"/>
      <c r="M62" s="106"/>
      <c r="N62" s="67">
        <f t="shared" si="0"/>
        <v>0</v>
      </c>
      <c r="O62" s="67">
        <f t="shared" si="1"/>
        <v>0</v>
      </c>
      <c r="P62" s="104"/>
      <c r="Q62" s="105"/>
      <c r="R62" s="105"/>
      <c r="S62" s="105"/>
      <c r="T62" s="105"/>
      <c r="U62" s="105"/>
      <c r="V62" s="106"/>
      <c r="W62" s="168"/>
    </row>
    <row r="63" spans="1:23" ht="28.5" customHeight="1" x14ac:dyDescent="0.45">
      <c r="A63" s="231"/>
      <c r="B63" s="241"/>
      <c r="C63" s="234"/>
      <c r="D63" s="223" t="s">
        <v>225</v>
      </c>
      <c r="E63" s="47" t="s">
        <v>239</v>
      </c>
      <c r="F63" s="16" t="s">
        <v>59</v>
      </c>
      <c r="G63" s="104"/>
      <c r="H63" s="105"/>
      <c r="I63" s="105"/>
      <c r="J63" s="105"/>
      <c r="K63" s="105"/>
      <c r="L63" s="105"/>
      <c r="M63" s="106"/>
      <c r="N63" s="67">
        <f t="shared" si="0"/>
        <v>0</v>
      </c>
      <c r="O63" s="67">
        <f t="shared" si="1"/>
        <v>0</v>
      </c>
      <c r="P63" s="104"/>
      <c r="Q63" s="105"/>
      <c r="R63" s="105"/>
      <c r="S63" s="105"/>
      <c r="T63" s="105"/>
      <c r="U63" s="105"/>
      <c r="V63" s="106"/>
      <c r="W63" s="171"/>
    </row>
    <row r="64" spans="1:23" ht="28.5" customHeight="1" x14ac:dyDescent="0.45">
      <c r="A64" s="231"/>
      <c r="B64" s="241"/>
      <c r="C64" s="234"/>
      <c r="D64" s="224"/>
      <c r="E64" s="203" t="s">
        <v>246</v>
      </c>
      <c r="F64" s="45" t="s">
        <v>60</v>
      </c>
      <c r="G64" s="104"/>
      <c r="H64" s="105"/>
      <c r="I64" s="105"/>
      <c r="J64" s="105"/>
      <c r="K64" s="105"/>
      <c r="L64" s="105"/>
      <c r="M64" s="106"/>
      <c r="N64" s="67">
        <f t="shared" si="0"/>
        <v>0</v>
      </c>
      <c r="O64" s="67">
        <f t="shared" si="1"/>
        <v>0</v>
      </c>
      <c r="P64" s="104"/>
      <c r="Q64" s="105"/>
      <c r="R64" s="105"/>
      <c r="S64" s="105"/>
      <c r="T64" s="105"/>
      <c r="U64" s="105"/>
      <c r="V64" s="106"/>
      <c r="W64" s="168"/>
    </row>
    <row r="65" spans="1:23" ht="28.5" customHeight="1" x14ac:dyDescent="0.45">
      <c r="A65" s="231"/>
      <c r="B65" s="241"/>
      <c r="C65" s="234"/>
      <c r="D65" s="225"/>
      <c r="E65" s="202"/>
      <c r="F65" s="45" t="s">
        <v>61</v>
      </c>
      <c r="G65" s="104"/>
      <c r="H65" s="105"/>
      <c r="I65" s="105"/>
      <c r="J65" s="105"/>
      <c r="K65" s="105"/>
      <c r="L65" s="105"/>
      <c r="M65" s="106"/>
      <c r="N65" s="67">
        <f t="shared" si="0"/>
        <v>0</v>
      </c>
      <c r="O65" s="67">
        <f t="shared" si="1"/>
        <v>0</v>
      </c>
      <c r="P65" s="104"/>
      <c r="Q65" s="105"/>
      <c r="R65" s="105"/>
      <c r="S65" s="105"/>
      <c r="T65" s="105"/>
      <c r="U65" s="105"/>
      <c r="V65" s="106"/>
      <c r="W65" s="168"/>
    </row>
    <row r="66" spans="1:23" ht="28.5" customHeight="1" x14ac:dyDescent="0.45">
      <c r="A66" s="231"/>
      <c r="B66" s="241"/>
      <c r="C66" s="234"/>
      <c r="D66" s="223" t="s">
        <v>226</v>
      </c>
      <c r="E66" s="47" t="s">
        <v>239</v>
      </c>
      <c r="F66" s="16" t="s">
        <v>227</v>
      </c>
      <c r="G66" s="104"/>
      <c r="H66" s="105"/>
      <c r="I66" s="105"/>
      <c r="J66" s="105"/>
      <c r="K66" s="105"/>
      <c r="L66" s="105"/>
      <c r="M66" s="106"/>
      <c r="N66" s="67">
        <f t="shared" si="0"/>
        <v>0</v>
      </c>
      <c r="O66" s="67">
        <f t="shared" si="1"/>
        <v>0</v>
      </c>
      <c r="P66" s="104"/>
      <c r="Q66" s="105"/>
      <c r="R66" s="105"/>
      <c r="S66" s="105"/>
      <c r="T66" s="105"/>
      <c r="U66" s="105"/>
      <c r="V66" s="106"/>
      <c r="W66" s="168"/>
    </row>
    <row r="67" spans="1:23" ht="28.5" customHeight="1" x14ac:dyDescent="0.45">
      <c r="A67" s="231"/>
      <c r="B67" s="241"/>
      <c r="C67" s="234"/>
      <c r="D67" s="224"/>
      <c r="E67" s="203" t="s">
        <v>246</v>
      </c>
      <c r="F67" s="45" t="s">
        <v>228</v>
      </c>
      <c r="G67" s="104"/>
      <c r="H67" s="105"/>
      <c r="I67" s="105"/>
      <c r="J67" s="105"/>
      <c r="K67" s="105"/>
      <c r="L67" s="105"/>
      <c r="M67" s="106"/>
      <c r="N67" s="67">
        <f t="shared" si="0"/>
        <v>0</v>
      </c>
      <c r="O67" s="67">
        <f t="shared" si="1"/>
        <v>0</v>
      </c>
      <c r="P67" s="104"/>
      <c r="Q67" s="105"/>
      <c r="R67" s="105"/>
      <c r="S67" s="105"/>
      <c r="T67" s="105"/>
      <c r="U67" s="105"/>
      <c r="V67" s="106"/>
      <c r="W67" s="168"/>
    </row>
    <row r="68" spans="1:23" ht="28.5" customHeight="1" x14ac:dyDescent="0.45">
      <c r="A68" s="231"/>
      <c r="B68" s="241"/>
      <c r="C68" s="234"/>
      <c r="D68" s="224"/>
      <c r="E68" s="202"/>
      <c r="F68" s="45" t="s">
        <v>229</v>
      </c>
      <c r="G68" s="104"/>
      <c r="H68" s="105"/>
      <c r="I68" s="105"/>
      <c r="J68" s="105"/>
      <c r="K68" s="105"/>
      <c r="L68" s="105"/>
      <c r="M68" s="106"/>
      <c r="N68" s="67">
        <f t="shared" si="0"/>
        <v>0</v>
      </c>
      <c r="O68" s="67">
        <f t="shared" si="1"/>
        <v>0</v>
      </c>
      <c r="P68" s="104"/>
      <c r="Q68" s="105"/>
      <c r="R68" s="105"/>
      <c r="S68" s="105"/>
      <c r="T68" s="105"/>
      <c r="U68" s="105"/>
      <c r="V68" s="106"/>
      <c r="W68" s="168"/>
    </row>
    <row r="69" spans="1:23" ht="28.5" customHeight="1" x14ac:dyDescent="0.45">
      <c r="A69" s="231"/>
      <c r="B69" s="241"/>
      <c r="C69" s="234"/>
      <c r="D69" s="224"/>
      <c r="E69" s="203" t="s">
        <v>243</v>
      </c>
      <c r="F69" s="45" t="s">
        <v>230</v>
      </c>
      <c r="G69" s="104"/>
      <c r="H69" s="105"/>
      <c r="I69" s="105"/>
      <c r="J69" s="105"/>
      <c r="K69" s="105"/>
      <c r="L69" s="105"/>
      <c r="M69" s="106"/>
      <c r="N69" s="67">
        <f t="shared" ref="N69:N172" si="2">IF(AND(G69=""),0,IF(OR(G69=""),2,3))</f>
        <v>0</v>
      </c>
      <c r="O69" s="67">
        <f t="shared" ref="O69:O172" si="3">IF(AND(M69=""),0,IF(OR(M69=""),1,2))</f>
        <v>0</v>
      </c>
      <c r="P69" s="104"/>
      <c r="Q69" s="105"/>
      <c r="R69" s="105"/>
      <c r="S69" s="105"/>
      <c r="T69" s="105"/>
      <c r="U69" s="105"/>
      <c r="V69" s="106"/>
      <c r="W69" s="168"/>
    </row>
    <row r="70" spans="1:23" ht="28.5" customHeight="1" x14ac:dyDescent="0.45">
      <c r="A70" s="231"/>
      <c r="B70" s="241"/>
      <c r="C70" s="234"/>
      <c r="D70" s="225"/>
      <c r="E70" s="202"/>
      <c r="F70" s="45" t="s">
        <v>231</v>
      </c>
      <c r="G70" s="104"/>
      <c r="H70" s="105"/>
      <c r="I70" s="105"/>
      <c r="J70" s="105"/>
      <c r="K70" s="105"/>
      <c r="L70" s="105"/>
      <c r="M70" s="106"/>
      <c r="N70" s="67">
        <f t="shared" si="2"/>
        <v>0</v>
      </c>
      <c r="O70" s="67">
        <f t="shared" si="3"/>
        <v>0</v>
      </c>
      <c r="P70" s="104"/>
      <c r="Q70" s="105"/>
      <c r="R70" s="105"/>
      <c r="S70" s="105"/>
      <c r="T70" s="105"/>
      <c r="U70" s="105"/>
      <c r="V70" s="106"/>
      <c r="W70" s="168"/>
    </row>
    <row r="71" spans="1:23" ht="28.5" customHeight="1" x14ac:dyDescent="0.45">
      <c r="A71" s="231"/>
      <c r="B71" s="241"/>
      <c r="C71" s="234"/>
      <c r="D71" s="223" t="s">
        <v>232</v>
      </c>
      <c r="E71" s="47" t="s">
        <v>239</v>
      </c>
      <c r="F71" s="16" t="s">
        <v>62</v>
      </c>
      <c r="G71" s="104"/>
      <c r="H71" s="107"/>
      <c r="I71" s="105"/>
      <c r="J71" s="105"/>
      <c r="K71" s="105"/>
      <c r="L71" s="105"/>
      <c r="M71" s="106"/>
      <c r="N71" s="67">
        <f t="shared" si="2"/>
        <v>0</v>
      </c>
      <c r="O71" s="67">
        <f t="shared" si="3"/>
        <v>0</v>
      </c>
      <c r="P71" s="104"/>
      <c r="Q71" s="105"/>
      <c r="R71" s="105"/>
      <c r="S71" s="105"/>
      <c r="T71" s="105"/>
      <c r="U71" s="105"/>
      <c r="V71" s="106"/>
      <c r="W71" s="171"/>
    </row>
    <row r="72" spans="1:23" ht="28.5" customHeight="1" x14ac:dyDescent="0.45">
      <c r="A72" s="231"/>
      <c r="B72" s="241"/>
      <c r="C72" s="234"/>
      <c r="D72" s="224"/>
      <c r="E72" s="203" t="s">
        <v>246</v>
      </c>
      <c r="F72" s="45" t="s">
        <v>63</v>
      </c>
      <c r="G72" s="104"/>
      <c r="I72" s="105"/>
      <c r="J72" s="105"/>
      <c r="K72" s="105"/>
      <c r="L72" s="105"/>
      <c r="M72" s="106"/>
      <c r="N72" s="67">
        <f t="shared" si="2"/>
        <v>0</v>
      </c>
      <c r="O72" s="67">
        <f t="shared" si="3"/>
        <v>0</v>
      </c>
      <c r="P72" s="104"/>
      <c r="Q72" s="105"/>
      <c r="R72" s="105"/>
      <c r="S72" s="105"/>
      <c r="T72" s="105"/>
      <c r="U72" s="105"/>
      <c r="V72" s="106"/>
      <c r="W72" s="171"/>
    </row>
    <row r="73" spans="1:23" ht="28.5" customHeight="1" x14ac:dyDescent="0.45">
      <c r="A73" s="231"/>
      <c r="B73" s="241"/>
      <c r="C73" s="234"/>
      <c r="D73" s="224"/>
      <c r="E73" s="202"/>
      <c r="F73" s="45" t="s">
        <v>64</v>
      </c>
      <c r="G73" s="104"/>
      <c r="H73" s="105"/>
      <c r="I73" s="105"/>
      <c r="J73" s="105"/>
      <c r="K73" s="105"/>
      <c r="L73" s="105"/>
      <c r="M73" s="106"/>
      <c r="N73" s="67">
        <f t="shared" si="2"/>
        <v>0</v>
      </c>
      <c r="O73" s="67">
        <f t="shared" si="3"/>
        <v>0</v>
      </c>
      <c r="P73" s="104"/>
      <c r="Q73" s="105"/>
      <c r="R73" s="105"/>
      <c r="S73" s="105"/>
      <c r="T73" s="105"/>
      <c r="U73" s="105"/>
      <c r="V73" s="106"/>
      <c r="W73" s="171"/>
    </row>
    <row r="74" spans="1:23" ht="28.5" customHeight="1" x14ac:dyDescent="0.45">
      <c r="A74" s="231"/>
      <c r="B74" s="241"/>
      <c r="C74" s="234"/>
      <c r="D74" s="224"/>
      <c r="E74" s="203" t="s">
        <v>243</v>
      </c>
      <c r="F74" s="45" t="s">
        <v>66</v>
      </c>
      <c r="G74" s="104"/>
      <c r="H74" s="105"/>
      <c r="I74" s="105"/>
      <c r="J74" s="105"/>
      <c r="K74" s="105"/>
      <c r="L74" s="105"/>
      <c r="M74" s="106"/>
      <c r="N74" s="67">
        <f t="shared" si="2"/>
        <v>0</v>
      </c>
      <c r="O74" s="67">
        <f t="shared" si="3"/>
        <v>0</v>
      </c>
      <c r="P74" s="104"/>
      <c r="Q74" s="105"/>
      <c r="R74" s="105"/>
      <c r="S74" s="105"/>
      <c r="T74" s="105"/>
      <c r="U74" s="105"/>
      <c r="V74" s="106"/>
      <c r="W74" s="171"/>
    </row>
    <row r="75" spans="1:23" ht="30" customHeight="1" x14ac:dyDescent="0.45">
      <c r="A75" s="231"/>
      <c r="B75" s="241"/>
      <c r="C75" s="234"/>
      <c r="D75" s="225"/>
      <c r="E75" s="202"/>
      <c r="F75" s="45" t="s">
        <v>65</v>
      </c>
      <c r="G75" s="105"/>
      <c r="H75" s="105"/>
      <c r="I75" s="105"/>
      <c r="J75" s="105"/>
      <c r="K75" s="105"/>
      <c r="L75" s="105"/>
      <c r="M75" s="106"/>
      <c r="N75" s="67" t="e">
        <f>IF(AND(#REF!=""),0,IF(OR(#REF!=""),2,3))</f>
        <v>#REF!</v>
      </c>
      <c r="O75" s="67">
        <f t="shared" si="3"/>
        <v>0</v>
      </c>
      <c r="P75" s="104"/>
      <c r="Q75" s="105"/>
      <c r="R75" s="105"/>
      <c r="S75" s="105"/>
      <c r="T75" s="105"/>
      <c r="U75" s="105"/>
      <c r="V75" s="106"/>
      <c r="W75" s="171"/>
    </row>
    <row r="76" spans="1:23" ht="39.75" customHeight="1" x14ac:dyDescent="0.45">
      <c r="A76" s="231"/>
      <c r="B76" s="241"/>
      <c r="C76" s="234"/>
      <c r="D76" s="217">
        <v>11</v>
      </c>
      <c r="E76" s="203" t="s">
        <v>245</v>
      </c>
      <c r="F76" s="16" t="s">
        <v>67</v>
      </c>
      <c r="G76" s="104"/>
      <c r="H76" s="184"/>
      <c r="I76" s="105"/>
      <c r="J76" s="105"/>
      <c r="K76" s="105"/>
      <c r="L76" s="105"/>
      <c r="M76" s="106"/>
      <c r="N76" s="67">
        <f t="shared" si="2"/>
        <v>0</v>
      </c>
      <c r="O76" s="67">
        <f t="shared" si="3"/>
        <v>0</v>
      </c>
      <c r="P76" s="104"/>
      <c r="Q76" s="105"/>
      <c r="R76" s="105"/>
      <c r="S76" s="105"/>
      <c r="T76" s="105"/>
      <c r="U76" s="105"/>
      <c r="V76" s="106"/>
      <c r="W76" s="171"/>
    </row>
    <row r="77" spans="1:23" ht="28.5" customHeight="1" x14ac:dyDescent="0.45">
      <c r="A77" s="231"/>
      <c r="B77" s="241"/>
      <c r="C77" s="234"/>
      <c r="D77" s="218"/>
      <c r="E77" s="202"/>
      <c r="F77" s="45" t="s">
        <v>68</v>
      </c>
      <c r="G77" s="104"/>
      <c r="H77" s="184"/>
      <c r="I77" s="105"/>
      <c r="J77" s="105"/>
      <c r="K77" s="105"/>
      <c r="L77" s="105"/>
      <c r="M77" s="106"/>
      <c r="N77" s="67">
        <f t="shared" si="2"/>
        <v>0</v>
      </c>
      <c r="O77" s="67">
        <f t="shared" si="3"/>
        <v>0</v>
      </c>
      <c r="P77" s="104"/>
      <c r="Q77" s="105"/>
      <c r="R77" s="105"/>
      <c r="S77" s="105"/>
      <c r="T77" s="105"/>
      <c r="U77" s="105"/>
      <c r="V77" s="106"/>
      <c r="W77" s="168"/>
    </row>
    <row r="78" spans="1:23" ht="38.25" customHeight="1" x14ac:dyDescent="0.45">
      <c r="A78" s="231"/>
      <c r="B78" s="241"/>
      <c r="C78" s="234"/>
      <c r="D78" s="218"/>
      <c r="E78" s="203" t="s">
        <v>244</v>
      </c>
      <c r="F78" s="8" t="s">
        <v>233</v>
      </c>
      <c r="G78" s="104"/>
      <c r="H78" s="185"/>
      <c r="I78" s="105"/>
      <c r="J78" s="105"/>
      <c r="K78" s="105"/>
      <c r="L78" s="105"/>
      <c r="M78" s="106"/>
      <c r="N78" s="67">
        <f t="shared" si="2"/>
        <v>0</v>
      </c>
      <c r="O78" s="67">
        <f t="shared" si="3"/>
        <v>0</v>
      </c>
      <c r="P78" s="104"/>
      <c r="Q78" s="105"/>
      <c r="R78" s="105"/>
      <c r="S78" s="105"/>
      <c r="T78" s="105"/>
      <c r="U78" s="105"/>
      <c r="V78" s="106"/>
      <c r="W78" s="168"/>
    </row>
    <row r="79" spans="1:23" ht="49.5" customHeight="1" x14ac:dyDescent="0.45">
      <c r="A79" s="231"/>
      <c r="B79" s="241"/>
      <c r="C79" s="234"/>
      <c r="D79" s="218"/>
      <c r="E79" s="201"/>
      <c r="F79" s="45" t="s">
        <v>235</v>
      </c>
      <c r="G79" s="104"/>
      <c r="H79" s="185"/>
      <c r="I79" s="105"/>
      <c r="J79" s="105"/>
      <c r="K79" s="105"/>
      <c r="L79" s="105"/>
      <c r="M79" s="106"/>
      <c r="N79" s="67">
        <f t="shared" si="2"/>
        <v>0</v>
      </c>
      <c r="O79" s="67">
        <f t="shared" si="3"/>
        <v>0</v>
      </c>
      <c r="P79" s="104"/>
      <c r="Q79" s="105"/>
      <c r="R79" s="105"/>
      <c r="S79" s="105"/>
      <c r="T79" s="105"/>
      <c r="U79" s="105"/>
      <c r="V79" s="106"/>
      <c r="W79" s="168"/>
    </row>
    <row r="80" spans="1:23" ht="49.5" customHeight="1" x14ac:dyDescent="0.45">
      <c r="A80" s="231"/>
      <c r="B80" s="241"/>
      <c r="C80" s="234"/>
      <c r="D80" s="218"/>
      <c r="E80" s="201"/>
      <c r="F80" s="45" t="s">
        <v>236</v>
      </c>
      <c r="G80" s="104"/>
      <c r="H80" s="185"/>
      <c r="I80" s="105"/>
      <c r="J80" s="105"/>
      <c r="K80" s="105"/>
      <c r="L80" s="105"/>
      <c r="M80" s="106"/>
      <c r="N80" s="67">
        <f t="shared" si="2"/>
        <v>0</v>
      </c>
      <c r="O80" s="67">
        <f t="shared" si="3"/>
        <v>0</v>
      </c>
      <c r="P80" s="104"/>
      <c r="Q80" s="105"/>
      <c r="R80" s="105"/>
      <c r="S80" s="105"/>
      <c r="T80" s="105"/>
      <c r="U80" s="105"/>
      <c r="V80" s="106"/>
      <c r="W80" s="168"/>
    </row>
    <row r="81" spans="1:23" ht="49.5" customHeight="1" x14ac:dyDescent="0.45">
      <c r="A81" s="231"/>
      <c r="B81" s="241"/>
      <c r="C81" s="234"/>
      <c r="D81" s="218"/>
      <c r="E81" s="201"/>
      <c r="F81" s="45" t="s">
        <v>237</v>
      </c>
      <c r="G81" s="104"/>
      <c r="H81" s="185"/>
      <c r="I81" s="105"/>
      <c r="J81" s="105"/>
      <c r="K81" s="105"/>
      <c r="L81" s="105"/>
      <c r="M81" s="106"/>
      <c r="N81" s="67">
        <f t="shared" si="2"/>
        <v>0</v>
      </c>
      <c r="O81" s="67">
        <f t="shared" si="3"/>
        <v>0</v>
      </c>
      <c r="P81" s="104"/>
      <c r="Q81" s="105"/>
      <c r="R81" s="105"/>
      <c r="S81" s="105"/>
      <c r="T81" s="105"/>
      <c r="U81" s="105"/>
      <c r="V81" s="106"/>
      <c r="W81" s="168"/>
    </row>
    <row r="82" spans="1:23" ht="49.5" customHeight="1" x14ac:dyDescent="0.45">
      <c r="A82" s="231"/>
      <c r="B82" s="241"/>
      <c r="C82" s="234"/>
      <c r="D82" s="218"/>
      <c r="E82" s="201"/>
      <c r="F82" s="45" t="s">
        <v>238</v>
      </c>
      <c r="G82" s="104"/>
      <c r="H82" s="185"/>
      <c r="I82" s="105"/>
      <c r="J82" s="105"/>
      <c r="K82" s="105"/>
      <c r="L82" s="105"/>
      <c r="M82" s="106"/>
      <c r="N82" s="67">
        <f t="shared" si="2"/>
        <v>0</v>
      </c>
      <c r="O82" s="67">
        <f t="shared" si="3"/>
        <v>0</v>
      </c>
      <c r="P82" s="104"/>
      <c r="Q82" s="105"/>
      <c r="R82" s="105"/>
      <c r="S82" s="105"/>
      <c r="T82" s="105"/>
      <c r="U82" s="105"/>
      <c r="V82" s="106"/>
      <c r="W82" s="168"/>
    </row>
    <row r="83" spans="1:23" ht="49.5" customHeight="1" x14ac:dyDescent="0.45">
      <c r="A83" s="231"/>
      <c r="B83" s="241"/>
      <c r="C83" s="234"/>
      <c r="D83" s="218"/>
      <c r="E83" s="202"/>
      <c r="F83" s="45" t="s">
        <v>234</v>
      </c>
      <c r="G83" s="104"/>
      <c r="H83" s="185"/>
      <c r="I83" s="105"/>
      <c r="J83" s="105"/>
      <c r="K83" s="105"/>
      <c r="L83" s="105"/>
      <c r="M83" s="106"/>
      <c r="N83" s="67">
        <f t="shared" si="2"/>
        <v>0</v>
      </c>
      <c r="O83" s="67">
        <f t="shared" si="3"/>
        <v>0</v>
      </c>
      <c r="P83" s="104"/>
      <c r="Q83" s="105"/>
      <c r="R83" s="105"/>
      <c r="S83" s="105"/>
      <c r="T83" s="105"/>
      <c r="U83" s="105"/>
      <c r="V83" s="106"/>
      <c r="W83" s="168"/>
    </row>
    <row r="84" spans="1:23" ht="36.75" customHeight="1" x14ac:dyDescent="0.45">
      <c r="A84" s="231"/>
      <c r="B84" s="241"/>
      <c r="C84" s="234"/>
      <c r="D84" s="218"/>
      <c r="E84" s="203" t="s">
        <v>243</v>
      </c>
      <c r="F84" s="8" t="s">
        <v>69</v>
      </c>
      <c r="G84" s="104"/>
      <c r="H84" s="184"/>
      <c r="I84" s="105"/>
      <c r="J84" s="105"/>
      <c r="K84" s="105"/>
      <c r="L84" s="105"/>
      <c r="M84" s="106"/>
      <c r="N84" s="67">
        <f t="shared" si="2"/>
        <v>0</v>
      </c>
      <c r="O84" s="67">
        <f t="shared" si="3"/>
        <v>0</v>
      </c>
      <c r="P84" s="104"/>
      <c r="Q84" s="105"/>
      <c r="R84" s="105"/>
      <c r="S84" s="105"/>
      <c r="T84" s="105"/>
      <c r="U84" s="105"/>
      <c r="V84" s="106"/>
      <c r="W84" s="168"/>
    </row>
    <row r="85" spans="1:23" ht="38.25" customHeight="1" x14ac:dyDescent="0.45">
      <c r="A85" s="231"/>
      <c r="B85" s="241"/>
      <c r="C85" s="234"/>
      <c r="D85" s="218"/>
      <c r="E85" s="201"/>
      <c r="F85" s="45" t="s">
        <v>70</v>
      </c>
      <c r="G85" s="104"/>
      <c r="H85" s="184"/>
      <c r="I85" s="105"/>
      <c r="J85" s="105"/>
      <c r="K85" s="105"/>
      <c r="L85" s="105"/>
      <c r="M85" s="106"/>
      <c r="N85" s="67">
        <f t="shared" si="2"/>
        <v>0</v>
      </c>
      <c r="O85" s="67">
        <f t="shared" si="3"/>
        <v>0</v>
      </c>
      <c r="P85" s="104"/>
      <c r="Q85" s="105"/>
      <c r="R85" s="105"/>
      <c r="S85" s="105"/>
      <c r="T85" s="105"/>
      <c r="U85" s="105"/>
      <c r="V85" s="106"/>
      <c r="W85" s="168"/>
    </row>
    <row r="86" spans="1:23" ht="39.75" customHeight="1" x14ac:dyDescent="0.45">
      <c r="A86" s="231"/>
      <c r="B86" s="241"/>
      <c r="C86" s="234"/>
      <c r="D86" s="218"/>
      <c r="E86" s="201"/>
      <c r="F86" s="8" t="s">
        <v>71</v>
      </c>
      <c r="G86" s="104"/>
      <c r="H86" s="184"/>
      <c r="I86" s="105"/>
      <c r="J86" s="105"/>
      <c r="K86" s="105"/>
      <c r="L86" s="105"/>
      <c r="M86" s="106"/>
      <c r="N86" s="67">
        <f t="shared" si="2"/>
        <v>0</v>
      </c>
      <c r="O86" s="67">
        <f t="shared" si="3"/>
        <v>0</v>
      </c>
      <c r="P86" s="104"/>
      <c r="Q86" s="105"/>
      <c r="R86" s="105"/>
      <c r="S86" s="105"/>
      <c r="T86" s="105"/>
      <c r="U86" s="105"/>
      <c r="V86" s="106"/>
      <c r="W86" s="168"/>
    </row>
    <row r="87" spans="1:23" ht="28.5" customHeight="1" thickBot="1" x14ac:dyDescent="0.5">
      <c r="A87" s="231"/>
      <c r="B87" s="242"/>
      <c r="C87" s="235"/>
      <c r="D87" s="219"/>
      <c r="E87" s="205"/>
      <c r="F87" s="45" t="s">
        <v>72</v>
      </c>
      <c r="G87" s="108"/>
      <c r="H87" s="184"/>
      <c r="I87" s="109"/>
      <c r="J87" s="109"/>
      <c r="K87" s="109"/>
      <c r="L87" s="109"/>
      <c r="M87" s="110"/>
      <c r="N87" s="67">
        <f t="shared" si="2"/>
        <v>0</v>
      </c>
      <c r="O87" s="67">
        <f t="shared" si="3"/>
        <v>0</v>
      </c>
      <c r="P87" s="108"/>
      <c r="Q87" s="105"/>
      <c r="R87" s="109"/>
      <c r="S87" s="109"/>
      <c r="T87" s="109"/>
      <c r="U87" s="109"/>
      <c r="V87" s="110"/>
      <c r="W87" s="169"/>
    </row>
    <row r="88" spans="1:23" ht="28.5" customHeight="1" x14ac:dyDescent="0.45">
      <c r="A88" s="231"/>
      <c r="B88" s="243" t="s">
        <v>187</v>
      </c>
      <c r="C88" s="233"/>
      <c r="D88" s="214">
        <v>12</v>
      </c>
      <c r="E88" s="49" t="s">
        <v>239</v>
      </c>
      <c r="F88" s="30" t="s">
        <v>73</v>
      </c>
      <c r="G88" s="112"/>
      <c r="H88" s="113"/>
      <c r="I88" s="113"/>
      <c r="J88" s="113"/>
      <c r="K88" s="113"/>
      <c r="L88" s="113"/>
      <c r="M88" s="114"/>
      <c r="N88" s="67">
        <f t="shared" si="2"/>
        <v>0</v>
      </c>
      <c r="O88" s="67">
        <f t="shared" si="3"/>
        <v>0</v>
      </c>
      <c r="P88" s="112"/>
      <c r="Q88" s="113"/>
      <c r="R88" s="113"/>
      <c r="S88" s="113"/>
      <c r="T88" s="113"/>
      <c r="U88" s="105"/>
      <c r="V88" s="114"/>
      <c r="W88" s="170"/>
    </row>
    <row r="89" spans="1:23" ht="28.5" customHeight="1" x14ac:dyDescent="0.45">
      <c r="A89" s="231"/>
      <c r="B89" s="244"/>
      <c r="C89" s="234"/>
      <c r="D89" s="215"/>
      <c r="E89" s="203" t="s">
        <v>243</v>
      </c>
      <c r="F89" s="60" t="s">
        <v>74</v>
      </c>
      <c r="G89" s="104"/>
      <c r="H89" s="105"/>
      <c r="I89" s="105"/>
      <c r="J89" s="105"/>
      <c r="K89" s="105"/>
      <c r="L89" s="105"/>
      <c r="M89" s="106"/>
      <c r="N89" s="67">
        <f t="shared" si="2"/>
        <v>0</v>
      </c>
      <c r="O89" s="67">
        <f t="shared" si="3"/>
        <v>0</v>
      </c>
      <c r="P89" s="104"/>
      <c r="Q89" s="105"/>
      <c r="R89" s="105"/>
      <c r="S89" s="105"/>
      <c r="T89" s="105"/>
      <c r="U89" s="105"/>
      <c r="V89" s="106"/>
      <c r="W89" s="168"/>
    </row>
    <row r="90" spans="1:23" ht="28.5" customHeight="1" x14ac:dyDescent="0.45">
      <c r="A90" s="231"/>
      <c r="B90" s="244"/>
      <c r="C90" s="234"/>
      <c r="D90" s="215"/>
      <c r="E90" s="201"/>
      <c r="F90" s="60" t="s">
        <v>75</v>
      </c>
      <c r="G90" s="104"/>
      <c r="H90" s="105"/>
      <c r="I90" s="105"/>
      <c r="J90" s="105"/>
      <c r="K90" s="105"/>
      <c r="L90" s="105"/>
      <c r="M90" s="106"/>
      <c r="N90" s="67">
        <f t="shared" si="2"/>
        <v>0</v>
      </c>
      <c r="O90" s="67">
        <f t="shared" si="3"/>
        <v>0</v>
      </c>
      <c r="P90" s="104"/>
      <c r="Q90" s="105"/>
      <c r="R90" s="105"/>
      <c r="S90" s="105"/>
      <c r="T90" s="105"/>
      <c r="U90" s="105"/>
      <c r="V90" s="106"/>
      <c r="W90" s="168"/>
    </row>
    <row r="91" spans="1:23" ht="28.5" customHeight="1" x14ac:dyDescent="0.45">
      <c r="A91" s="231"/>
      <c r="B91" s="244"/>
      <c r="C91" s="234"/>
      <c r="D91" s="215"/>
      <c r="E91" s="201"/>
      <c r="F91" s="60" t="s">
        <v>76</v>
      </c>
      <c r="G91" s="104"/>
      <c r="H91" s="105"/>
      <c r="I91" s="105"/>
      <c r="J91" s="105"/>
      <c r="K91" s="105"/>
      <c r="L91" s="105"/>
      <c r="M91" s="106"/>
      <c r="N91" s="67">
        <f t="shared" si="2"/>
        <v>0</v>
      </c>
      <c r="O91" s="67">
        <f t="shared" si="3"/>
        <v>0</v>
      </c>
      <c r="P91" s="104"/>
      <c r="Q91" s="105"/>
      <c r="R91" s="105"/>
      <c r="S91" s="105"/>
      <c r="T91" s="105"/>
      <c r="U91" s="105"/>
      <c r="V91" s="106"/>
      <c r="W91" s="168"/>
    </row>
    <row r="92" spans="1:23" ht="28.5" customHeight="1" x14ac:dyDescent="0.45">
      <c r="A92" s="231"/>
      <c r="B92" s="244"/>
      <c r="C92" s="234"/>
      <c r="D92" s="215"/>
      <c r="E92" s="201"/>
      <c r="F92" s="60" t="s">
        <v>77</v>
      </c>
      <c r="G92" s="104"/>
      <c r="H92" s="105"/>
      <c r="I92" s="105"/>
      <c r="J92" s="105"/>
      <c r="K92" s="105"/>
      <c r="L92" s="105"/>
      <c r="M92" s="106"/>
      <c r="N92" s="67">
        <f t="shared" si="2"/>
        <v>0</v>
      </c>
      <c r="O92" s="67">
        <f t="shared" si="3"/>
        <v>0</v>
      </c>
      <c r="P92" s="104"/>
      <c r="Q92" s="105"/>
      <c r="R92" s="105"/>
      <c r="S92" s="105"/>
      <c r="T92" s="105"/>
      <c r="U92" s="105"/>
      <c r="V92" s="106"/>
      <c r="W92" s="168"/>
    </row>
    <row r="93" spans="1:23" ht="28.5" customHeight="1" x14ac:dyDescent="0.45">
      <c r="A93" s="231"/>
      <c r="B93" s="244"/>
      <c r="C93" s="234"/>
      <c r="D93" s="215"/>
      <c r="E93" s="201"/>
      <c r="F93" s="60" t="s">
        <v>78</v>
      </c>
      <c r="G93" s="104"/>
      <c r="H93" s="105"/>
      <c r="I93" s="105"/>
      <c r="J93" s="105"/>
      <c r="K93" s="105"/>
      <c r="L93" s="105"/>
      <c r="M93" s="106"/>
      <c r="N93" s="67">
        <f t="shared" si="2"/>
        <v>0</v>
      </c>
      <c r="O93" s="67">
        <f t="shared" si="3"/>
        <v>0</v>
      </c>
      <c r="P93" s="104"/>
      <c r="Q93" s="105"/>
      <c r="R93" s="105"/>
      <c r="S93" s="105"/>
      <c r="T93" s="105"/>
      <c r="U93" s="105"/>
      <c r="V93" s="106"/>
      <c r="W93" s="168"/>
    </row>
    <row r="94" spans="1:23" ht="28.5" customHeight="1" x14ac:dyDescent="0.45">
      <c r="A94" s="231"/>
      <c r="B94" s="244"/>
      <c r="C94" s="234"/>
      <c r="D94" s="215"/>
      <c r="E94" s="201"/>
      <c r="F94" s="60" t="s">
        <v>79</v>
      </c>
      <c r="G94" s="104"/>
      <c r="H94" s="105"/>
      <c r="I94" s="105"/>
      <c r="J94" s="105"/>
      <c r="K94" s="105"/>
      <c r="L94" s="105"/>
      <c r="M94" s="106"/>
      <c r="N94" s="67">
        <f t="shared" si="2"/>
        <v>0</v>
      </c>
      <c r="O94" s="67">
        <f t="shared" si="3"/>
        <v>0</v>
      </c>
      <c r="P94" s="104"/>
      <c r="Q94" s="105"/>
      <c r="R94" s="105"/>
      <c r="S94" s="105"/>
      <c r="T94" s="105"/>
      <c r="U94" s="105"/>
      <c r="V94" s="106"/>
      <c r="W94" s="168"/>
    </row>
    <row r="95" spans="1:23" ht="28.5" customHeight="1" x14ac:dyDescent="0.45">
      <c r="A95" s="231"/>
      <c r="B95" s="244"/>
      <c r="C95" s="234"/>
      <c r="D95" s="215"/>
      <c r="E95" s="201"/>
      <c r="F95" s="60" t="s">
        <v>80</v>
      </c>
      <c r="G95" s="104"/>
      <c r="H95" s="105"/>
      <c r="I95" s="105"/>
      <c r="J95" s="105"/>
      <c r="K95" s="105"/>
      <c r="L95" s="105"/>
      <c r="M95" s="106"/>
      <c r="N95" s="67">
        <f t="shared" si="2"/>
        <v>0</v>
      </c>
      <c r="O95" s="67">
        <f t="shared" si="3"/>
        <v>0</v>
      </c>
      <c r="P95" s="104"/>
      <c r="Q95" s="105"/>
      <c r="R95" s="105"/>
      <c r="S95" s="105"/>
      <c r="T95" s="105"/>
      <c r="U95" s="105"/>
      <c r="V95" s="106"/>
      <c r="W95" s="168"/>
    </row>
    <row r="96" spans="1:23" ht="28.5" customHeight="1" x14ac:dyDescent="0.45">
      <c r="A96" s="231"/>
      <c r="B96" s="244"/>
      <c r="C96" s="234"/>
      <c r="D96" s="216"/>
      <c r="E96" s="202"/>
      <c r="F96" s="61" t="s">
        <v>81</v>
      </c>
      <c r="G96" s="104"/>
      <c r="H96" s="105"/>
      <c r="I96" s="105"/>
      <c r="J96" s="105"/>
      <c r="K96" s="105"/>
      <c r="L96" s="105"/>
      <c r="M96" s="106"/>
      <c r="N96" s="67">
        <f t="shared" si="2"/>
        <v>0</v>
      </c>
      <c r="O96" s="67">
        <f t="shared" si="3"/>
        <v>0</v>
      </c>
      <c r="P96" s="104"/>
      <c r="Q96" s="105"/>
      <c r="R96" s="105"/>
      <c r="S96" s="105"/>
      <c r="T96" s="105"/>
      <c r="U96" s="105"/>
      <c r="V96" s="106"/>
      <c r="W96" s="168"/>
    </row>
    <row r="97" spans="1:23" ht="28.5" customHeight="1" x14ac:dyDescent="0.45">
      <c r="A97" s="231"/>
      <c r="B97" s="244"/>
      <c r="C97" s="234"/>
      <c r="D97" s="203">
        <v>13</v>
      </c>
      <c r="E97" s="50" t="s">
        <v>239</v>
      </c>
      <c r="F97" s="25" t="s">
        <v>82</v>
      </c>
      <c r="G97" s="104"/>
      <c r="H97" s="105"/>
      <c r="I97" s="105"/>
      <c r="J97" s="105"/>
      <c r="K97" s="105"/>
      <c r="L97" s="105"/>
      <c r="M97" s="106"/>
      <c r="N97" s="67">
        <f t="shared" si="2"/>
        <v>0</v>
      </c>
      <c r="O97" s="67">
        <f t="shared" si="3"/>
        <v>0</v>
      </c>
      <c r="P97" s="104"/>
      <c r="Q97" s="105"/>
      <c r="R97" s="105"/>
      <c r="S97" s="105"/>
      <c r="T97" s="105"/>
      <c r="U97" s="105"/>
      <c r="V97" s="106"/>
      <c r="W97" s="171"/>
    </row>
    <row r="98" spans="1:23" ht="28.5" customHeight="1" x14ac:dyDescent="0.45">
      <c r="A98" s="231"/>
      <c r="B98" s="244"/>
      <c r="C98" s="234"/>
      <c r="D98" s="201"/>
      <c r="E98" s="203" t="s">
        <v>246</v>
      </c>
      <c r="F98" s="60" t="s">
        <v>83</v>
      </c>
      <c r="G98" s="104"/>
      <c r="H98" s="105"/>
      <c r="I98" s="105"/>
      <c r="J98" s="105"/>
      <c r="K98" s="105"/>
      <c r="L98" s="105"/>
      <c r="M98" s="106"/>
      <c r="N98" s="67">
        <f t="shared" si="2"/>
        <v>0</v>
      </c>
      <c r="O98" s="67">
        <f t="shared" si="3"/>
        <v>0</v>
      </c>
      <c r="P98" s="104"/>
      <c r="Q98" s="105"/>
      <c r="R98" s="105"/>
      <c r="S98" s="105"/>
      <c r="T98" s="105"/>
      <c r="U98" s="105"/>
      <c r="V98" s="106"/>
      <c r="W98" s="168"/>
    </row>
    <row r="99" spans="1:23" ht="28.5" customHeight="1" x14ac:dyDescent="0.45">
      <c r="A99" s="231"/>
      <c r="B99" s="244"/>
      <c r="C99" s="234"/>
      <c r="D99" s="201"/>
      <c r="E99" s="201"/>
      <c r="F99" s="60" t="s">
        <v>84</v>
      </c>
      <c r="G99" s="104"/>
      <c r="H99" s="105"/>
      <c r="I99" s="105"/>
      <c r="J99" s="105"/>
      <c r="K99" s="105"/>
      <c r="L99" s="105"/>
      <c r="M99" s="106"/>
      <c r="N99" s="67">
        <f t="shared" si="2"/>
        <v>0</v>
      </c>
      <c r="O99" s="67">
        <f t="shared" si="3"/>
        <v>0</v>
      </c>
      <c r="P99" s="104"/>
      <c r="Q99" s="105"/>
      <c r="R99" s="105"/>
      <c r="S99" s="105"/>
      <c r="T99" s="105"/>
      <c r="U99" s="105"/>
      <c r="V99" s="106"/>
      <c r="W99" s="168"/>
    </row>
    <row r="100" spans="1:23" ht="28.5" customHeight="1" x14ac:dyDescent="0.45">
      <c r="A100" s="231"/>
      <c r="B100" s="244"/>
      <c r="C100" s="234"/>
      <c r="D100" s="201"/>
      <c r="E100" s="201"/>
      <c r="F100" s="60" t="s">
        <v>85</v>
      </c>
      <c r="G100" s="104"/>
      <c r="H100" s="105"/>
      <c r="I100" s="105"/>
      <c r="J100" s="105"/>
      <c r="K100" s="105"/>
      <c r="L100" s="187"/>
      <c r="M100" s="106"/>
      <c r="N100" s="67">
        <f t="shared" si="2"/>
        <v>0</v>
      </c>
      <c r="O100" s="67">
        <f t="shared" si="3"/>
        <v>0</v>
      </c>
      <c r="P100" s="104"/>
      <c r="Q100" s="105"/>
      <c r="R100" s="105"/>
      <c r="S100" s="105"/>
      <c r="T100" s="105"/>
      <c r="U100" s="105"/>
      <c r="V100" s="106"/>
      <c r="W100" s="168"/>
    </row>
    <row r="101" spans="1:23" ht="28.5" customHeight="1" x14ac:dyDescent="0.45">
      <c r="A101" s="231"/>
      <c r="B101" s="244"/>
      <c r="C101" s="234"/>
      <c r="D101" s="201"/>
      <c r="E101" s="202"/>
      <c r="F101" s="60" t="s">
        <v>86</v>
      </c>
      <c r="G101" s="104"/>
      <c r="H101" s="105"/>
      <c r="I101" s="105"/>
      <c r="J101" s="105"/>
      <c r="K101" s="105"/>
      <c r="L101" s="187"/>
      <c r="M101" s="106"/>
      <c r="N101" s="67">
        <f t="shared" si="2"/>
        <v>0</v>
      </c>
      <c r="O101" s="67">
        <f t="shared" si="3"/>
        <v>0</v>
      </c>
      <c r="P101" s="104"/>
      <c r="Q101" s="105"/>
      <c r="R101" s="105"/>
      <c r="S101" s="105"/>
      <c r="T101" s="105"/>
      <c r="U101" s="105"/>
      <c r="V101" s="106"/>
      <c r="W101" s="168"/>
    </row>
    <row r="102" spans="1:23" ht="28.5" customHeight="1" x14ac:dyDescent="0.45">
      <c r="A102" s="231"/>
      <c r="B102" s="244"/>
      <c r="C102" s="234"/>
      <c r="D102" s="201"/>
      <c r="E102" s="203" t="s">
        <v>243</v>
      </c>
      <c r="F102" s="60" t="s">
        <v>87</v>
      </c>
      <c r="G102" s="104"/>
      <c r="H102" s="105"/>
      <c r="I102" s="105"/>
      <c r="J102" s="105"/>
      <c r="K102" s="105"/>
      <c r="L102" s="105"/>
      <c r="M102" s="106"/>
      <c r="N102" s="67">
        <f t="shared" si="2"/>
        <v>0</v>
      </c>
      <c r="O102" s="67">
        <f t="shared" si="3"/>
        <v>0</v>
      </c>
      <c r="P102" s="104"/>
      <c r="Q102" s="105"/>
      <c r="R102" s="105"/>
      <c r="S102" s="105"/>
      <c r="T102" s="105"/>
      <c r="U102" s="105"/>
      <c r="V102" s="106"/>
      <c r="W102" s="168"/>
    </row>
    <row r="103" spans="1:23" ht="28.5" customHeight="1" x14ac:dyDescent="0.45">
      <c r="A103" s="231"/>
      <c r="B103" s="244"/>
      <c r="C103" s="234"/>
      <c r="D103" s="201"/>
      <c r="E103" s="201"/>
      <c r="F103" s="60" t="s">
        <v>88</v>
      </c>
      <c r="G103" s="104"/>
      <c r="H103" s="105"/>
      <c r="I103" s="105"/>
      <c r="J103" s="105"/>
      <c r="K103" s="105"/>
      <c r="L103" s="105"/>
      <c r="M103" s="106"/>
      <c r="N103" s="67">
        <f t="shared" si="2"/>
        <v>0</v>
      </c>
      <c r="O103" s="67">
        <f t="shared" si="3"/>
        <v>0</v>
      </c>
      <c r="P103" s="104"/>
      <c r="Q103" s="105"/>
      <c r="R103" s="105"/>
      <c r="S103" s="105"/>
      <c r="T103" s="105"/>
      <c r="U103" s="105"/>
      <c r="V103" s="106"/>
      <c r="W103" s="168"/>
    </row>
    <row r="104" spans="1:23" ht="28.5" customHeight="1" x14ac:dyDescent="0.45">
      <c r="A104" s="231"/>
      <c r="B104" s="244"/>
      <c r="C104" s="234"/>
      <c r="D104" s="201"/>
      <c r="E104" s="201"/>
      <c r="F104" s="60" t="s">
        <v>89</v>
      </c>
      <c r="G104" s="104"/>
      <c r="H104" s="105"/>
      <c r="I104" s="105"/>
      <c r="J104" s="105"/>
      <c r="K104" s="105"/>
      <c r="L104" s="187"/>
      <c r="M104" s="106"/>
      <c r="N104" s="67">
        <f t="shared" si="2"/>
        <v>0</v>
      </c>
      <c r="O104" s="67">
        <f t="shared" si="3"/>
        <v>0</v>
      </c>
      <c r="P104" s="104"/>
      <c r="Q104" s="105"/>
      <c r="R104" s="105"/>
      <c r="S104" s="105"/>
      <c r="T104" s="105"/>
      <c r="U104" s="105"/>
      <c r="V104" s="106"/>
      <c r="W104" s="168"/>
    </row>
    <row r="105" spans="1:23" ht="28.5" customHeight="1" x14ac:dyDescent="0.45">
      <c r="A105" s="231"/>
      <c r="B105" s="244"/>
      <c r="C105" s="234"/>
      <c r="D105" s="202"/>
      <c r="E105" s="202"/>
      <c r="F105" s="61" t="s">
        <v>90</v>
      </c>
      <c r="G105" s="104"/>
      <c r="H105" s="105"/>
      <c r="I105" s="105"/>
      <c r="J105" s="105"/>
      <c r="K105" s="105"/>
      <c r="L105" s="187"/>
      <c r="M105" s="106"/>
      <c r="N105" s="67">
        <f t="shared" si="2"/>
        <v>0</v>
      </c>
      <c r="O105" s="67">
        <f t="shared" si="3"/>
        <v>0</v>
      </c>
      <c r="P105" s="104"/>
      <c r="Q105" s="105"/>
      <c r="R105" s="105"/>
      <c r="S105" s="105"/>
      <c r="T105" s="105"/>
      <c r="U105" s="105"/>
      <c r="V105" s="106"/>
      <c r="W105" s="168"/>
    </row>
    <row r="106" spans="1:23" ht="28.5" customHeight="1" x14ac:dyDescent="0.45">
      <c r="A106" s="231"/>
      <c r="B106" s="244"/>
      <c r="C106" s="234"/>
      <c r="D106" s="203">
        <v>14</v>
      </c>
      <c r="E106" s="50" t="s">
        <v>239</v>
      </c>
      <c r="F106" s="25" t="s">
        <v>91</v>
      </c>
      <c r="G106" s="104"/>
      <c r="H106" s="105"/>
      <c r="I106" s="105"/>
      <c r="J106" s="105"/>
      <c r="K106" s="105"/>
      <c r="L106" s="105"/>
      <c r="M106" s="106"/>
      <c r="N106" s="67">
        <f t="shared" si="2"/>
        <v>0</v>
      </c>
      <c r="O106" s="67">
        <f t="shared" si="3"/>
        <v>0</v>
      </c>
      <c r="P106" s="104"/>
      <c r="Q106" s="105"/>
      <c r="R106" s="105"/>
      <c r="S106" s="105"/>
      <c r="T106" s="105"/>
      <c r="U106" s="105"/>
      <c r="V106" s="106"/>
      <c r="W106" s="168"/>
    </row>
    <row r="107" spans="1:23" ht="28.5" customHeight="1" x14ac:dyDescent="0.45">
      <c r="A107" s="231"/>
      <c r="B107" s="244"/>
      <c r="C107" s="234"/>
      <c r="D107" s="201"/>
      <c r="E107" s="203" t="s">
        <v>246</v>
      </c>
      <c r="F107" s="60" t="s">
        <v>92</v>
      </c>
      <c r="G107" s="104"/>
      <c r="H107" s="105"/>
      <c r="I107" s="105"/>
      <c r="J107" s="105"/>
      <c r="K107" s="105"/>
      <c r="L107" s="105"/>
      <c r="M107" s="106"/>
      <c r="N107" s="67">
        <f t="shared" si="2"/>
        <v>0</v>
      </c>
      <c r="O107" s="67">
        <f t="shared" si="3"/>
        <v>0</v>
      </c>
      <c r="P107" s="104"/>
      <c r="Q107" s="105"/>
      <c r="R107" s="105"/>
      <c r="S107" s="105"/>
      <c r="T107" s="105"/>
      <c r="U107" s="105"/>
      <c r="V107" s="106"/>
      <c r="W107" s="168"/>
    </row>
    <row r="108" spans="1:23" ht="28.5" customHeight="1" x14ac:dyDescent="0.45">
      <c r="A108" s="231"/>
      <c r="B108" s="244"/>
      <c r="C108" s="234"/>
      <c r="D108" s="201"/>
      <c r="E108" s="201"/>
      <c r="F108" s="60" t="s">
        <v>93</v>
      </c>
      <c r="G108" s="104"/>
      <c r="H108" s="105"/>
      <c r="I108" s="105"/>
      <c r="J108" s="105"/>
      <c r="K108" s="105"/>
      <c r="L108" s="105"/>
      <c r="M108" s="106"/>
      <c r="N108" s="67">
        <f t="shared" si="2"/>
        <v>0</v>
      </c>
      <c r="O108" s="67">
        <f t="shared" si="3"/>
        <v>0</v>
      </c>
      <c r="P108" s="104"/>
      <c r="Q108" s="105"/>
      <c r="R108" s="105"/>
      <c r="S108" s="105"/>
      <c r="T108" s="105"/>
      <c r="U108" s="105"/>
      <c r="V108" s="106"/>
      <c r="W108" s="168"/>
    </row>
    <row r="109" spans="1:23" ht="28.5" customHeight="1" x14ac:dyDescent="0.45">
      <c r="A109" s="231"/>
      <c r="B109" s="244"/>
      <c r="C109" s="234"/>
      <c r="D109" s="201"/>
      <c r="E109" s="201"/>
      <c r="F109" s="60" t="s">
        <v>94</v>
      </c>
      <c r="G109" s="104"/>
      <c r="H109" s="105"/>
      <c r="I109" s="105"/>
      <c r="J109" s="105"/>
      <c r="K109" s="105"/>
      <c r="L109" s="187"/>
      <c r="M109" s="106"/>
      <c r="N109" s="67">
        <f t="shared" si="2"/>
        <v>0</v>
      </c>
      <c r="O109" s="67">
        <f t="shared" si="3"/>
        <v>0</v>
      </c>
      <c r="P109" s="104"/>
      <c r="Q109" s="105"/>
      <c r="R109" s="105"/>
      <c r="S109" s="105"/>
      <c r="T109" s="105"/>
      <c r="U109" s="105"/>
      <c r="V109" s="106"/>
      <c r="W109" s="168"/>
    </row>
    <row r="110" spans="1:23" ht="28.5" customHeight="1" x14ac:dyDescent="0.45">
      <c r="A110" s="231"/>
      <c r="B110" s="244"/>
      <c r="C110" s="234"/>
      <c r="D110" s="201"/>
      <c r="E110" s="202"/>
      <c r="F110" s="60" t="s">
        <v>95</v>
      </c>
      <c r="G110" s="104"/>
      <c r="H110" s="105"/>
      <c r="I110" s="105"/>
      <c r="J110" s="105"/>
      <c r="K110" s="105"/>
      <c r="L110" s="187"/>
      <c r="M110" s="106"/>
      <c r="N110" s="67">
        <f t="shared" si="2"/>
        <v>0</v>
      </c>
      <c r="O110" s="67">
        <f t="shared" si="3"/>
        <v>0</v>
      </c>
      <c r="P110" s="104"/>
      <c r="Q110" s="105"/>
      <c r="R110" s="105"/>
      <c r="S110" s="105"/>
      <c r="T110" s="105"/>
      <c r="U110" s="105"/>
      <c r="V110" s="106"/>
      <c r="W110" s="168"/>
    </row>
    <row r="111" spans="1:23" ht="28.5" customHeight="1" x14ac:dyDescent="0.45">
      <c r="A111" s="231"/>
      <c r="B111" s="244"/>
      <c r="C111" s="234"/>
      <c r="D111" s="201"/>
      <c r="E111" s="203" t="s">
        <v>243</v>
      </c>
      <c r="F111" s="60" t="s">
        <v>96</v>
      </c>
      <c r="G111" s="104"/>
      <c r="H111" s="105"/>
      <c r="I111" s="105"/>
      <c r="J111" s="105"/>
      <c r="K111" s="105"/>
      <c r="L111" s="105"/>
      <c r="M111" s="106"/>
      <c r="N111" s="67">
        <f t="shared" si="2"/>
        <v>0</v>
      </c>
      <c r="O111" s="67">
        <f t="shared" si="3"/>
        <v>0</v>
      </c>
      <c r="P111" s="104"/>
      <c r="Q111" s="105"/>
      <c r="R111" s="105"/>
      <c r="S111" s="105"/>
      <c r="T111" s="105"/>
      <c r="U111" s="105"/>
      <c r="V111" s="106"/>
      <c r="W111" s="168"/>
    </row>
    <row r="112" spans="1:23" ht="28.5" customHeight="1" x14ac:dyDescent="0.45">
      <c r="A112" s="231"/>
      <c r="B112" s="244"/>
      <c r="C112" s="234"/>
      <c r="D112" s="201"/>
      <c r="E112" s="201"/>
      <c r="F112" s="60" t="s">
        <v>97</v>
      </c>
      <c r="G112" s="104"/>
      <c r="H112" s="105"/>
      <c r="I112" s="105"/>
      <c r="J112" s="105"/>
      <c r="K112" s="105"/>
      <c r="L112" s="105"/>
      <c r="M112" s="106"/>
      <c r="N112" s="67">
        <f t="shared" si="2"/>
        <v>0</v>
      </c>
      <c r="O112" s="67">
        <f t="shared" si="3"/>
        <v>0</v>
      </c>
      <c r="P112" s="104"/>
      <c r="Q112" s="105"/>
      <c r="R112" s="105"/>
      <c r="S112" s="105"/>
      <c r="T112" s="105"/>
      <c r="U112" s="105"/>
      <c r="V112" s="106"/>
      <c r="W112" s="168"/>
    </row>
    <row r="113" spans="1:23" ht="28.5" customHeight="1" x14ac:dyDescent="0.45">
      <c r="A113" s="231"/>
      <c r="B113" s="244"/>
      <c r="C113" s="234"/>
      <c r="D113" s="201"/>
      <c r="E113" s="201"/>
      <c r="F113" s="60" t="s">
        <v>98</v>
      </c>
      <c r="G113" s="104"/>
      <c r="H113" s="105"/>
      <c r="I113" s="105"/>
      <c r="J113" s="105"/>
      <c r="K113" s="105"/>
      <c r="L113" s="187"/>
      <c r="M113" s="106"/>
      <c r="N113" s="67">
        <f t="shared" si="2"/>
        <v>0</v>
      </c>
      <c r="O113" s="67">
        <f t="shared" si="3"/>
        <v>0</v>
      </c>
      <c r="P113" s="104"/>
      <c r="Q113" s="105"/>
      <c r="R113" s="105"/>
      <c r="S113" s="105"/>
      <c r="T113" s="105"/>
      <c r="U113" s="105"/>
      <c r="V113" s="106"/>
      <c r="W113" s="168"/>
    </row>
    <row r="114" spans="1:23" ht="28.5" customHeight="1" x14ac:dyDescent="0.45">
      <c r="A114" s="231"/>
      <c r="B114" s="244"/>
      <c r="C114" s="234"/>
      <c r="D114" s="202"/>
      <c r="E114" s="202"/>
      <c r="F114" s="61" t="s">
        <v>99</v>
      </c>
      <c r="G114" s="104"/>
      <c r="H114" s="105"/>
      <c r="I114" s="105"/>
      <c r="J114" s="105"/>
      <c r="K114" s="105"/>
      <c r="L114" s="187"/>
      <c r="M114" s="106"/>
      <c r="N114" s="67">
        <f t="shared" si="2"/>
        <v>0</v>
      </c>
      <c r="O114" s="67">
        <f t="shared" si="3"/>
        <v>0</v>
      </c>
      <c r="P114" s="104"/>
      <c r="Q114" s="105"/>
      <c r="R114" s="105"/>
      <c r="S114" s="105"/>
      <c r="T114" s="105"/>
      <c r="U114" s="105"/>
      <c r="V114" s="106"/>
      <c r="W114" s="168"/>
    </row>
    <row r="115" spans="1:23" ht="38.25" customHeight="1" x14ac:dyDescent="0.45">
      <c r="A115" s="231"/>
      <c r="B115" s="244"/>
      <c r="C115" s="234"/>
      <c r="D115" s="203">
        <v>15</v>
      </c>
      <c r="E115" s="50" t="s">
        <v>239</v>
      </c>
      <c r="F115" s="62" t="s">
        <v>251</v>
      </c>
      <c r="G115" s="104"/>
      <c r="H115" s="105"/>
      <c r="I115" s="105"/>
      <c r="J115" s="105"/>
      <c r="K115" s="105"/>
      <c r="L115" s="105"/>
      <c r="M115" s="106"/>
      <c r="N115" s="67">
        <f t="shared" si="2"/>
        <v>0</v>
      </c>
      <c r="O115" s="67">
        <f t="shared" si="3"/>
        <v>0</v>
      </c>
      <c r="P115" s="104"/>
      <c r="Q115" s="105"/>
      <c r="R115" s="105"/>
      <c r="S115" s="105"/>
      <c r="T115" s="105"/>
      <c r="U115" s="105"/>
      <c r="V115" s="106"/>
      <c r="W115" s="168"/>
    </row>
    <row r="116" spans="1:23" ht="28.5" customHeight="1" x14ac:dyDescent="0.45">
      <c r="A116" s="231"/>
      <c r="B116" s="244"/>
      <c r="C116" s="234"/>
      <c r="D116" s="201"/>
      <c r="E116" s="203" t="s">
        <v>243</v>
      </c>
      <c r="F116" s="60" t="s">
        <v>247</v>
      </c>
      <c r="G116" s="104"/>
      <c r="H116" s="105"/>
      <c r="I116" s="105"/>
      <c r="J116" s="105"/>
      <c r="K116" s="105"/>
      <c r="L116" s="105"/>
      <c r="M116" s="106"/>
      <c r="N116" s="67">
        <f t="shared" si="2"/>
        <v>0</v>
      </c>
      <c r="O116" s="67">
        <f t="shared" si="3"/>
        <v>0</v>
      </c>
      <c r="P116" s="104"/>
      <c r="Q116" s="105"/>
      <c r="R116" s="105"/>
      <c r="S116" s="105"/>
      <c r="T116" s="105"/>
      <c r="U116" s="105"/>
      <c r="V116" s="106"/>
      <c r="W116" s="168"/>
    </row>
    <row r="117" spans="1:23" ht="28.5" customHeight="1" x14ac:dyDescent="0.45">
      <c r="A117" s="231"/>
      <c r="B117" s="244"/>
      <c r="C117" s="234"/>
      <c r="D117" s="201"/>
      <c r="E117" s="201"/>
      <c r="F117" s="60" t="s">
        <v>249</v>
      </c>
      <c r="G117" s="104"/>
      <c r="H117" s="105"/>
      <c r="I117" s="105"/>
      <c r="J117" s="105"/>
      <c r="K117" s="105"/>
      <c r="L117" s="105"/>
      <c r="M117" s="106"/>
      <c r="N117" s="67">
        <f t="shared" si="2"/>
        <v>0</v>
      </c>
      <c r="O117" s="67">
        <f t="shared" si="3"/>
        <v>0</v>
      </c>
      <c r="P117" s="104"/>
      <c r="Q117" s="105"/>
      <c r="R117" s="105"/>
      <c r="S117" s="105"/>
      <c r="T117" s="105"/>
      <c r="U117" s="105"/>
      <c r="V117" s="106"/>
      <c r="W117" s="168"/>
    </row>
    <row r="118" spans="1:23" ht="28.5" customHeight="1" x14ac:dyDescent="0.45">
      <c r="A118" s="231"/>
      <c r="B118" s="244"/>
      <c r="C118" s="234"/>
      <c r="D118" s="201"/>
      <c r="E118" s="201"/>
      <c r="F118" s="60" t="s">
        <v>250</v>
      </c>
      <c r="G118" s="104"/>
      <c r="H118" s="105"/>
      <c r="I118" s="105"/>
      <c r="J118" s="105"/>
      <c r="K118" s="105"/>
      <c r="L118" s="105"/>
      <c r="M118" s="106"/>
      <c r="N118" s="67">
        <f t="shared" si="2"/>
        <v>0</v>
      </c>
      <c r="O118" s="67">
        <f t="shared" si="3"/>
        <v>0</v>
      </c>
      <c r="P118" s="104"/>
      <c r="Q118" s="105"/>
      <c r="R118" s="105"/>
      <c r="S118" s="105"/>
      <c r="T118" s="105"/>
      <c r="U118" s="105"/>
      <c r="V118" s="106"/>
      <c r="W118" s="168"/>
    </row>
    <row r="119" spans="1:23" ht="28.5" customHeight="1" x14ac:dyDescent="0.45">
      <c r="A119" s="231"/>
      <c r="B119" s="244"/>
      <c r="C119" s="234"/>
      <c r="D119" s="201"/>
      <c r="E119" s="202"/>
      <c r="F119" s="60" t="s">
        <v>252</v>
      </c>
      <c r="G119" s="104"/>
      <c r="H119" s="105"/>
      <c r="I119" s="105"/>
      <c r="J119" s="105"/>
      <c r="K119" s="105"/>
      <c r="L119" s="105"/>
      <c r="M119" s="106"/>
      <c r="N119" s="67">
        <f t="shared" si="2"/>
        <v>0</v>
      </c>
      <c r="O119" s="67">
        <f t="shared" si="3"/>
        <v>0</v>
      </c>
      <c r="P119" s="104"/>
      <c r="Q119" s="105"/>
      <c r="R119" s="105"/>
      <c r="S119" s="105"/>
      <c r="T119" s="105"/>
      <c r="U119" s="105"/>
      <c r="V119" s="106"/>
      <c r="W119" s="168"/>
    </row>
    <row r="120" spans="1:23" ht="69.75" customHeight="1" x14ac:dyDescent="0.45">
      <c r="A120" s="231"/>
      <c r="B120" s="244"/>
      <c r="C120" s="234"/>
      <c r="D120" s="201"/>
      <c r="E120" s="203" t="s">
        <v>256</v>
      </c>
      <c r="F120" s="60" t="s">
        <v>248</v>
      </c>
      <c r="G120" s="104"/>
      <c r="H120" s="105"/>
      <c r="I120" s="105"/>
      <c r="J120" s="105"/>
      <c r="K120" s="105"/>
      <c r="L120" s="105"/>
      <c r="M120" s="106"/>
      <c r="N120" s="67">
        <f t="shared" si="2"/>
        <v>0</v>
      </c>
      <c r="O120" s="67">
        <f t="shared" si="3"/>
        <v>0</v>
      </c>
      <c r="P120" s="104"/>
      <c r="Q120" s="105"/>
      <c r="R120" s="105"/>
      <c r="S120" s="105"/>
      <c r="T120" s="105"/>
      <c r="U120" s="105"/>
      <c r="V120" s="106"/>
      <c r="W120" s="168"/>
    </row>
    <row r="121" spans="1:23" ht="28.5" customHeight="1" x14ac:dyDescent="0.45">
      <c r="A121" s="231"/>
      <c r="B121" s="244"/>
      <c r="C121" s="234"/>
      <c r="D121" s="201"/>
      <c r="E121" s="201"/>
      <c r="F121" s="60" t="s">
        <v>253</v>
      </c>
      <c r="G121" s="104"/>
      <c r="H121" s="105"/>
      <c r="I121" s="105"/>
      <c r="J121" s="105"/>
      <c r="K121" s="105"/>
      <c r="L121" s="105"/>
      <c r="M121" s="106"/>
      <c r="N121" s="67">
        <f t="shared" si="2"/>
        <v>0</v>
      </c>
      <c r="O121" s="67">
        <f t="shared" si="3"/>
        <v>0</v>
      </c>
      <c r="P121" s="104"/>
      <c r="Q121" s="105"/>
      <c r="R121" s="105"/>
      <c r="S121" s="105"/>
      <c r="T121" s="105"/>
      <c r="U121" s="105"/>
      <c r="V121" s="106"/>
      <c r="W121" s="168"/>
    </row>
    <row r="122" spans="1:23" ht="28.5" customHeight="1" x14ac:dyDescent="0.45">
      <c r="A122" s="231"/>
      <c r="B122" s="244"/>
      <c r="C122" s="234"/>
      <c r="D122" s="201"/>
      <c r="E122" s="201"/>
      <c r="F122" s="60" t="s">
        <v>254</v>
      </c>
      <c r="G122" s="104"/>
      <c r="H122" s="105"/>
      <c r="I122" s="105"/>
      <c r="J122" s="105"/>
      <c r="K122" s="105"/>
      <c r="L122" s="105"/>
      <c r="M122" s="106"/>
      <c r="N122" s="67">
        <f t="shared" si="2"/>
        <v>0</v>
      </c>
      <c r="O122" s="67">
        <f t="shared" si="3"/>
        <v>0</v>
      </c>
      <c r="P122" s="104"/>
      <c r="Q122" s="105"/>
      <c r="R122" s="105"/>
      <c r="S122" s="105"/>
      <c r="T122" s="105"/>
      <c r="U122" s="105"/>
      <c r="V122" s="106"/>
      <c r="W122" s="168"/>
    </row>
    <row r="123" spans="1:23" ht="28.5" customHeight="1" thickBot="1" x14ac:dyDescent="0.5">
      <c r="A123" s="231"/>
      <c r="B123" s="244"/>
      <c r="C123" s="234"/>
      <c r="D123" s="202"/>
      <c r="E123" s="202"/>
      <c r="F123" s="61" t="s">
        <v>255</v>
      </c>
      <c r="G123" s="104"/>
      <c r="H123" s="105"/>
      <c r="I123" s="105"/>
      <c r="J123" s="105"/>
      <c r="K123" s="105"/>
      <c r="L123" s="105"/>
      <c r="M123" s="106"/>
      <c r="N123" s="67">
        <f t="shared" si="2"/>
        <v>0</v>
      </c>
      <c r="O123" s="67">
        <f t="shared" si="3"/>
        <v>0</v>
      </c>
      <c r="P123" s="104"/>
      <c r="Q123" s="105"/>
      <c r="R123" s="105"/>
      <c r="S123" s="105"/>
      <c r="T123" s="105"/>
      <c r="U123" s="105"/>
      <c r="V123" s="106"/>
      <c r="W123" s="168"/>
    </row>
    <row r="124" spans="1:23" ht="33.75" customHeight="1" x14ac:dyDescent="0.45">
      <c r="A124" s="231"/>
      <c r="B124" s="240" t="s">
        <v>188</v>
      </c>
      <c r="C124" s="238"/>
      <c r="D124" s="198">
        <v>17</v>
      </c>
      <c r="E124" s="213" t="s">
        <v>239</v>
      </c>
      <c r="F124" s="31" t="s">
        <v>100</v>
      </c>
      <c r="G124" s="112"/>
      <c r="H124" s="113"/>
      <c r="I124" s="113"/>
      <c r="J124" s="113"/>
      <c r="K124" s="113"/>
      <c r="L124" s="113"/>
      <c r="M124" s="114"/>
      <c r="N124" s="67">
        <f t="shared" si="2"/>
        <v>0</v>
      </c>
      <c r="O124" s="67">
        <f t="shared" si="3"/>
        <v>0</v>
      </c>
      <c r="P124" s="112"/>
      <c r="Q124" s="113"/>
      <c r="R124" s="113"/>
      <c r="S124" s="113"/>
      <c r="T124" s="113"/>
      <c r="U124" s="113"/>
      <c r="V124" s="114"/>
      <c r="W124" s="173"/>
    </row>
    <row r="125" spans="1:23" ht="25.5" customHeight="1" x14ac:dyDescent="0.45">
      <c r="A125" s="231"/>
      <c r="B125" s="241"/>
      <c r="C125" s="239"/>
      <c r="D125" s="199"/>
      <c r="E125" s="212"/>
      <c r="F125" s="64" t="s">
        <v>101</v>
      </c>
      <c r="G125" s="104"/>
      <c r="H125" s="105"/>
      <c r="I125" s="105"/>
      <c r="J125" s="105"/>
      <c r="K125" s="105"/>
      <c r="L125" s="105"/>
      <c r="M125" s="106"/>
      <c r="N125" s="67">
        <f t="shared" si="2"/>
        <v>0</v>
      </c>
      <c r="O125" s="67">
        <f t="shared" si="3"/>
        <v>0</v>
      </c>
      <c r="P125" s="104"/>
      <c r="Q125" s="105"/>
      <c r="R125" s="105"/>
      <c r="S125" s="105"/>
      <c r="T125" s="105"/>
      <c r="U125" s="105"/>
      <c r="V125" s="106"/>
      <c r="W125" s="168"/>
    </row>
    <row r="126" spans="1:23" ht="25.5" customHeight="1" x14ac:dyDescent="0.45">
      <c r="A126" s="231"/>
      <c r="B126" s="241"/>
      <c r="C126" s="239"/>
      <c r="D126" s="199"/>
      <c r="E126" s="210"/>
      <c r="F126" s="64" t="s">
        <v>102</v>
      </c>
      <c r="G126" s="104"/>
      <c r="H126" s="105"/>
      <c r="I126" s="105"/>
      <c r="J126" s="105"/>
      <c r="K126" s="105"/>
      <c r="L126" s="105"/>
      <c r="M126" s="106"/>
      <c r="N126" s="67">
        <f t="shared" si="2"/>
        <v>0</v>
      </c>
      <c r="O126" s="67">
        <f t="shared" si="3"/>
        <v>0</v>
      </c>
      <c r="P126" s="104"/>
      <c r="Q126" s="105"/>
      <c r="R126" s="105"/>
      <c r="S126" s="105"/>
      <c r="T126" s="105"/>
      <c r="U126" s="105"/>
      <c r="V126" s="106"/>
      <c r="W126" s="168"/>
    </row>
    <row r="127" spans="1:23" ht="35.25" customHeight="1" x14ac:dyDescent="0.45">
      <c r="A127" s="231"/>
      <c r="B127" s="241"/>
      <c r="C127" s="239"/>
      <c r="D127" s="199"/>
      <c r="E127" s="209" t="s">
        <v>246</v>
      </c>
      <c r="F127" s="64" t="s">
        <v>258</v>
      </c>
      <c r="G127" s="104"/>
      <c r="H127" s="105"/>
      <c r="I127" s="105"/>
      <c r="J127" s="105"/>
      <c r="K127" s="105"/>
      <c r="L127" s="105"/>
      <c r="M127" s="106"/>
      <c r="N127" s="67">
        <f t="shared" si="2"/>
        <v>0</v>
      </c>
      <c r="O127" s="67">
        <f t="shared" si="3"/>
        <v>0</v>
      </c>
      <c r="P127" s="104"/>
      <c r="Q127" s="105"/>
      <c r="R127" s="105"/>
      <c r="S127" s="105"/>
      <c r="T127" s="105"/>
      <c r="U127" s="105"/>
      <c r="V127" s="106"/>
      <c r="W127" s="168"/>
    </row>
    <row r="128" spans="1:23" ht="25.5" customHeight="1" x14ac:dyDescent="0.45">
      <c r="A128" s="231"/>
      <c r="B128" s="241"/>
      <c r="C128" s="239"/>
      <c r="D128" s="199"/>
      <c r="E128" s="212"/>
      <c r="F128" s="64" t="s">
        <v>257</v>
      </c>
      <c r="G128" s="104"/>
      <c r="H128" s="105"/>
      <c r="I128" s="105"/>
      <c r="J128" s="105"/>
      <c r="K128" s="105"/>
      <c r="L128" s="105"/>
      <c r="M128" s="106"/>
      <c r="N128" s="67">
        <f t="shared" si="2"/>
        <v>0</v>
      </c>
      <c r="O128" s="67">
        <f t="shared" si="3"/>
        <v>0</v>
      </c>
      <c r="P128" s="104"/>
      <c r="Q128" s="105"/>
      <c r="R128" s="105"/>
      <c r="S128" s="105"/>
      <c r="T128" s="105"/>
      <c r="U128" s="105"/>
      <c r="V128" s="106"/>
      <c r="W128" s="168"/>
    </row>
    <row r="129" spans="1:23" ht="25.5" customHeight="1" x14ac:dyDescent="0.45">
      <c r="A129" s="231"/>
      <c r="B129" s="241"/>
      <c r="C129" s="239"/>
      <c r="D129" s="199"/>
      <c r="E129" s="212"/>
      <c r="F129" s="64" t="s">
        <v>259</v>
      </c>
      <c r="G129" s="104"/>
      <c r="H129" s="105"/>
      <c r="I129" s="105"/>
      <c r="J129" s="105"/>
      <c r="K129" s="105"/>
      <c r="L129" s="105"/>
      <c r="M129" s="106"/>
      <c r="N129" s="67">
        <f t="shared" si="2"/>
        <v>0</v>
      </c>
      <c r="O129" s="67">
        <f t="shared" si="3"/>
        <v>0</v>
      </c>
      <c r="P129" s="104"/>
      <c r="Q129" s="105"/>
      <c r="R129" s="105"/>
      <c r="S129" s="105"/>
      <c r="T129" s="105"/>
      <c r="U129" s="105"/>
      <c r="V129" s="106"/>
      <c r="W129" s="168"/>
    </row>
    <row r="130" spans="1:23" ht="25.5" customHeight="1" x14ac:dyDescent="0.45">
      <c r="A130" s="231"/>
      <c r="B130" s="241"/>
      <c r="C130" s="239"/>
      <c r="D130" s="199"/>
      <c r="E130" s="212"/>
      <c r="F130" s="64" t="s">
        <v>260</v>
      </c>
      <c r="G130" s="104"/>
      <c r="H130" s="105"/>
      <c r="I130" s="105"/>
      <c r="J130" s="105"/>
      <c r="K130" s="105"/>
      <c r="L130" s="105"/>
      <c r="M130" s="106"/>
      <c r="N130" s="67">
        <f t="shared" si="2"/>
        <v>0</v>
      </c>
      <c r="O130" s="67">
        <f t="shared" si="3"/>
        <v>0</v>
      </c>
      <c r="P130" s="104"/>
      <c r="Q130" s="105"/>
      <c r="R130" s="105"/>
      <c r="S130" s="105"/>
      <c r="T130" s="105"/>
      <c r="U130" s="105"/>
      <c r="V130" s="106"/>
      <c r="W130" s="168"/>
    </row>
    <row r="131" spans="1:23" ht="25.5" customHeight="1" x14ac:dyDescent="0.45">
      <c r="A131" s="231"/>
      <c r="B131" s="241"/>
      <c r="C131" s="239"/>
      <c r="D131" s="199"/>
      <c r="E131" s="203" t="s">
        <v>333</v>
      </c>
      <c r="F131" s="64" t="s">
        <v>261</v>
      </c>
      <c r="G131" s="104"/>
      <c r="H131" s="105"/>
      <c r="I131" s="105"/>
      <c r="J131" s="105"/>
      <c r="K131" s="105"/>
      <c r="L131" s="105"/>
      <c r="M131" s="106"/>
      <c r="N131" s="67">
        <f t="shared" si="2"/>
        <v>0</v>
      </c>
      <c r="O131" s="67">
        <f t="shared" si="3"/>
        <v>0</v>
      </c>
      <c r="P131" s="104"/>
      <c r="Q131" s="105"/>
      <c r="R131" s="105"/>
      <c r="S131" s="105"/>
      <c r="T131" s="105"/>
      <c r="U131" s="105"/>
      <c r="V131" s="106"/>
      <c r="W131" s="171"/>
    </row>
    <row r="132" spans="1:23" ht="25.5" customHeight="1" x14ac:dyDescent="0.45">
      <c r="A132" s="231"/>
      <c r="B132" s="241"/>
      <c r="C132" s="239"/>
      <c r="D132" s="199"/>
      <c r="E132" s="201"/>
      <c r="F132" s="64" t="s">
        <v>262</v>
      </c>
      <c r="G132" s="104"/>
      <c r="H132" s="105"/>
      <c r="I132" s="105"/>
      <c r="J132" s="105"/>
      <c r="K132" s="105"/>
      <c r="L132" s="105"/>
      <c r="M132" s="106"/>
      <c r="N132" s="67">
        <f t="shared" si="2"/>
        <v>0</v>
      </c>
      <c r="O132" s="67">
        <f t="shared" si="3"/>
        <v>0</v>
      </c>
      <c r="P132" s="104"/>
      <c r="Q132" s="105"/>
      <c r="R132" s="105"/>
      <c r="S132" s="105"/>
      <c r="T132" s="105"/>
      <c r="U132" s="105"/>
      <c r="V132" s="106"/>
      <c r="W132" s="168"/>
    </row>
    <row r="133" spans="1:23" ht="25.5" customHeight="1" x14ac:dyDescent="0.45">
      <c r="A133" s="231"/>
      <c r="B133" s="241"/>
      <c r="C133" s="239"/>
      <c r="D133" s="199"/>
      <c r="E133" s="201"/>
      <c r="F133" s="64" t="s">
        <v>263</v>
      </c>
      <c r="G133" s="104"/>
      <c r="H133" s="105"/>
      <c r="I133" s="105"/>
      <c r="J133" s="105"/>
      <c r="K133" s="105"/>
      <c r="L133" s="105"/>
      <c r="M133" s="106"/>
      <c r="N133" s="67">
        <f t="shared" si="2"/>
        <v>0</v>
      </c>
      <c r="O133" s="67">
        <f t="shared" si="3"/>
        <v>0</v>
      </c>
      <c r="P133" s="104"/>
      <c r="Q133" s="105"/>
      <c r="R133" s="105"/>
      <c r="S133" s="105"/>
      <c r="T133" s="105"/>
      <c r="U133" s="105"/>
      <c r="V133" s="106"/>
      <c r="W133" s="168"/>
    </row>
    <row r="134" spans="1:23" ht="25.5" customHeight="1" x14ac:dyDescent="0.45">
      <c r="A134" s="231"/>
      <c r="B134" s="241"/>
      <c r="C134" s="239"/>
      <c r="D134" s="199"/>
      <c r="E134" s="201"/>
      <c r="F134" s="64" t="s">
        <v>264</v>
      </c>
      <c r="G134" s="104"/>
      <c r="H134" s="105"/>
      <c r="I134" s="105"/>
      <c r="J134" s="105"/>
      <c r="K134" s="105"/>
      <c r="L134" s="105"/>
      <c r="M134" s="106"/>
      <c r="N134" s="67">
        <f t="shared" si="2"/>
        <v>0</v>
      </c>
      <c r="O134" s="67">
        <f t="shared" si="3"/>
        <v>0</v>
      </c>
      <c r="P134" s="104"/>
      <c r="Q134" s="105"/>
      <c r="R134" s="105"/>
      <c r="S134" s="105"/>
      <c r="T134" s="105"/>
      <c r="U134" s="105"/>
      <c r="V134" s="106"/>
      <c r="W134" s="168"/>
    </row>
    <row r="135" spans="1:23" ht="25.5" customHeight="1" x14ac:dyDescent="0.45">
      <c r="A135" s="231"/>
      <c r="B135" s="241"/>
      <c r="C135" s="239"/>
      <c r="D135" s="199"/>
      <c r="E135" s="201"/>
      <c r="F135" s="64" t="s">
        <v>265</v>
      </c>
      <c r="G135" s="104"/>
      <c r="H135" s="105"/>
      <c r="I135" s="105"/>
      <c r="J135" s="105"/>
      <c r="K135" s="105"/>
      <c r="L135" s="105"/>
      <c r="M135" s="106"/>
      <c r="N135" s="67">
        <f t="shared" si="2"/>
        <v>0</v>
      </c>
      <c r="O135" s="67">
        <f t="shared" si="3"/>
        <v>0</v>
      </c>
      <c r="P135" s="104"/>
      <c r="Q135" s="105"/>
      <c r="R135" s="105"/>
      <c r="S135" s="105"/>
      <c r="T135" s="105"/>
      <c r="U135" s="105"/>
      <c r="V135" s="106"/>
      <c r="W135" s="171"/>
    </row>
    <row r="136" spans="1:23" ht="25.5" customHeight="1" x14ac:dyDescent="0.45">
      <c r="A136" s="231"/>
      <c r="B136" s="241"/>
      <c r="C136" s="239"/>
      <c r="D136" s="199"/>
      <c r="E136" s="201"/>
      <c r="F136" s="64" t="s">
        <v>266</v>
      </c>
      <c r="G136" s="104"/>
      <c r="H136" s="105"/>
      <c r="I136" s="105"/>
      <c r="J136" s="105"/>
      <c r="K136" s="105"/>
      <c r="L136" s="105"/>
      <c r="M136" s="106"/>
      <c r="N136" s="67">
        <f t="shared" si="2"/>
        <v>0</v>
      </c>
      <c r="O136" s="67">
        <f t="shared" si="3"/>
        <v>0</v>
      </c>
      <c r="P136" s="104"/>
      <c r="Q136" s="105"/>
      <c r="R136" s="105"/>
      <c r="S136" s="105"/>
      <c r="T136" s="105"/>
      <c r="U136" s="105"/>
      <c r="V136" s="106"/>
      <c r="W136" s="168"/>
    </row>
    <row r="137" spans="1:23" ht="25.5" customHeight="1" x14ac:dyDescent="0.45">
      <c r="A137" s="231"/>
      <c r="B137" s="241"/>
      <c r="C137" s="239"/>
      <c r="D137" s="199"/>
      <c r="E137" s="201"/>
      <c r="F137" s="64" t="s">
        <v>267</v>
      </c>
      <c r="G137" s="104"/>
      <c r="H137" s="105"/>
      <c r="I137" s="105"/>
      <c r="J137" s="105"/>
      <c r="K137" s="105"/>
      <c r="L137" s="105"/>
      <c r="M137" s="106"/>
      <c r="N137" s="67">
        <f t="shared" si="2"/>
        <v>0</v>
      </c>
      <c r="O137" s="67">
        <f t="shared" si="3"/>
        <v>0</v>
      </c>
      <c r="P137" s="104"/>
      <c r="Q137" s="105"/>
      <c r="R137" s="105"/>
      <c r="S137" s="105"/>
      <c r="T137" s="105"/>
      <c r="U137" s="105"/>
      <c r="V137" s="106"/>
      <c r="W137" s="168"/>
    </row>
    <row r="138" spans="1:23" ht="25.5" customHeight="1" x14ac:dyDescent="0.45">
      <c r="A138" s="231"/>
      <c r="B138" s="241"/>
      <c r="C138" s="239"/>
      <c r="D138" s="199"/>
      <c r="E138" s="202"/>
      <c r="F138" s="64" t="s">
        <v>268</v>
      </c>
      <c r="G138" s="104"/>
      <c r="H138" s="105"/>
      <c r="I138" s="105"/>
      <c r="J138" s="105"/>
      <c r="K138" s="105"/>
      <c r="L138" s="105"/>
      <c r="M138" s="106"/>
      <c r="N138" s="67">
        <f t="shared" si="2"/>
        <v>0</v>
      </c>
      <c r="O138" s="67">
        <f t="shared" si="3"/>
        <v>0</v>
      </c>
      <c r="P138" s="104"/>
      <c r="Q138" s="105"/>
      <c r="R138" s="105"/>
      <c r="S138" s="105"/>
      <c r="T138" s="105"/>
      <c r="U138" s="105"/>
      <c r="V138" s="106"/>
      <c r="W138" s="168"/>
    </row>
    <row r="139" spans="1:23" ht="25.5" customHeight="1" x14ac:dyDescent="0.45">
      <c r="A139" s="231"/>
      <c r="B139" s="241"/>
      <c r="C139" s="239"/>
      <c r="D139" s="199"/>
      <c r="E139" s="209" t="s">
        <v>244</v>
      </c>
      <c r="F139" s="64" t="s">
        <v>269</v>
      </c>
      <c r="G139" s="104"/>
      <c r="H139" s="105"/>
      <c r="I139" s="105"/>
      <c r="J139" s="105"/>
      <c r="K139" s="105"/>
      <c r="L139" s="105"/>
      <c r="M139" s="106"/>
      <c r="N139" s="67">
        <f t="shared" si="2"/>
        <v>0</v>
      </c>
      <c r="O139" s="67">
        <f t="shared" si="3"/>
        <v>0</v>
      </c>
      <c r="P139" s="104"/>
      <c r="Q139" s="105"/>
      <c r="R139" s="105"/>
      <c r="S139" s="105"/>
      <c r="T139" s="105"/>
      <c r="U139" s="105"/>
      <c r="V139" s="106"/>
      <c r="W139" s="168"/>
    </row>
    <row r="140" spans="1:23" ht="25.5" customHeight="1" x14ac:dyDescent="0.45">
      <c r="A140" s="231"/>
      <c r="B140" s="241"/>
      <c r="C140" s="239"/>
      <c r="D140" s="199"/>
      <c r="E140" s="212"/>
      <c r="F140" s="64" t="s">
        <v>271</v>
      </c>
      <c r="G140" s="104"/>
      <c r="H140" s="105"/>
      <c r="I140" s="105"/>
      <c r="J140" s="105"/>
      <c r="K140" s="105"/>
      <c r="L140" s="105"/>
      <c r="M140" s="106"/>
      <c r="N140" s="67">
        <f t="shared" si="2"/>
        <v>0</v>
      </c>
      <c r="O140" s="67">
        <f t="shared" si="3"/>
        <v>0</v>
      </c>
      <c r="P140" s="104"/>
      <c r="Q140" s="105"/>
      <c r="R140" s="105"/>
      <c r="S140" s="105"/>
      <c r="T140" s="105"/>
      <c r="U140" s="105"/>
      <c r="V140" s="106"/>
      <c r="W140" s="168"/>
    </row>
    <row r="141" spans="1:23" ht="25.5" customHeight="1" x14ac:dyDescent="0.45">
      <c r="A141" s="231"/>
      <c r="B141" s="241"/>
      <c r="C141" s="239"/>
      <c r="D141" s="199"/>
      <c r="E141" s="212"/>
      <c r="F141" s="64" t="s">
        <v>272</v>
      </c>
      <c r="G141" s="104"/>
      <c r="H141" s="105"/>
      <c r="I141" s="105"/>
      <c r="J141" s="105"/>
      <c r="K141" s="105"/>
      <c r="L141" s="105"/>
      <c r="M141" s="106"/>
      <c r="N141" s="67">
        <f t="shared" si="2"/>
        <v>0</v>
      </c>
      <c r="O141" s="67">
        <f t="shared" si="3"/>
        <v>0</v>
      </c>
      <c r="P141" s="104"/>
      <c r="Q141" s="105"/>
      <c r="R141" s="105"/>
      <c r="S141" s="105"/>
      <c r="T141" s="105"/>
      <c r="U141" s="105"/>
      <c r="V141" s="106"/>
      <c r="W141" s="168"/>
    </row>
    <row r="142" spans="1:23" ht="25.5" customHeight="1" x14ac:dyDescent="0.45">
      <c r="A142" s="231"/>
      <c r="B142" s="241"/>
      <c r="C142" s="239"/>
      <c r="D142" s="199"/>
      <c r="E142" s="212"/>
      <c r="F142" s="64" t="s">
        <v>273</v>
      </c>
      <c r="G142" s="104"/>
      <c r="H142" s="105"/>
      <c r="I142" s="105"/>
      <c r="J142" s="105"/>
      <c r="K142" s="105"/>
      <c r="L142" s="105"/>
      <c r="M142" s="106"/>
      <c r="N142" s="67">
        <f t="shared" si="2"/>
        <v>0</v>
      </c>
      <c r="O142" s="67">
        <f t="shared" si="3"/>
        <v>0</v>
      </c>
      <c r="P142" s="104"/>
      <c r="Q142" s="105"/>
      <c r="R142" s="105"/>
      <c r="S142" s="105"/>
      <c r="T142" s="105"/>
      <c r="U142" s="105"/>
      <c r="V142" s="106"/>
      <c r="W142" s="168"/>
    </row>
    <row r="143" spans="1:23" ht="25.5" customHeight="1" x14ac:dyDescent="0.45">
      <c r="A143" s="231"/>
      <c r="B143" s="241"/>
      <c r="C143" s="239"/>
      <c r="D143" s="199"/>
      <c r="E143" s="212"/>
      <c r="F143" s="64" t="s">
        <v>274</v>
      </c>
      <c r="G143" s="104"/>
      <c r="H143" s="105"/>
      <c r="I143" s="105"/>
      <c r="J143" s="105"/>
      <c r="K143" s="105"/>
      <c r="L143" s="105"/>
      <c r="M143" s="106"/>
      <c r="N143" s="67">
        <f t="shared" si="2"/>
        <v>0</v>
      </c>
      <c r="O143" s="67">
        <f t="shared" si="3"/>
        <v>0</v>
      </c>
      <c r="P143" s="104"/>
      <c r="Q143" s="105"/>
      <c r="R143" s="105"/>
      <c r="S143" s="105"/>
      <c r="T143" s="105"/>
      <c r="U143" s="105"/>
      <c r="V143" s="106"/>
      <c r="W143" s="168"/>
    </row>
    <row r="144" spans="1:23" ht="25.5" customHeight="1" x14ac:dyDescent="0.45">
      <c r="A144" s="231"/>
      <c r="B144" s="241"/>
      <c r="C144" s="239"/>
      <c r="D144" s="199"/>
      <c r="E144" s="212"/>
      <c r="F144" s="64" t="s">
        <v>275</v>
      </c>
      <c r="G144" s="104"/>
      <c r="H144" s="105"/>
      <c r="I144" s="105"/>
      <c r="J144" s="105"/>
      <c r="K144" s="105"/>
      <c r="L144" s="105"/>
      <c r="M144" s="106"/>
      <c r="N144" s="67">
        <f t="shared" si="2"/>
        <v>0</v>
      </c>
      <c r="O144" s="67">
        <f t="shared" si="3"/>
        <v>0</v>
      </c>
      <c r="P144" s="104"/>
      <c r="Q144" s="105"/>
      <c r="R144" s="105"/>
      <c r="S144" s="105"/>
      <c r="T144" s="105"/>
      <c r="U144" s="105"/>
      <c r="V144" s="106"/>
      <c r="W144" s="168"/>
    </row>
    <row r="145" spans="1:23" ht="25.5" customHeight="1" x14ac:dyDescent="0.45">
      <c r="A145" s="231"/>
      <c r="B145" s="241"/>
      <c r="C145" s="239"/>
      <c r="D145" s="199"/>
      <c r="E145" s="212"/>
      <c r="F145" s="65" t="s">
        <v>270</v>
      </c>
      <c r="G145" s="104"/>
      <c r="H145" s="105"/>
      <c r="I145" s="105"/>
      <c r="J145" s="105"/>
      <c r="K145" s="105"/>
      <c r="L145" s="105"/>
      <c r="M145" s="106"/>
      <c r="N145" s="67">
        <f t="shared" si="2"/>
        <v>0</v>
      </c>
      <c r="O145" s="67">
        <f t="shared" si="3"/>
        <v>0</v>
      </c>
      <c r="P145" s="104"/>
      <c r="Q145" s="105"/>
      <c r="R145" s="105"/>
      <c r="S145" s="105"/>
      <c r="T145" s="105"/>
      <c r="U145" s="105"/>
      <c r="V145" s="106"/>
      <c r="W145" s="168"/>
    </row>
    <row r="146" spans="1:23" ht="25.5" customHeight="1" x14ac:dyDescent="0.45">
      <c r="A146" s="231"/>
      <c r="B146" s="241"/>
      <c r="C146" s="239"/>
      <c r="D146" s="199"/>
      <c r="E146" s="212"/>
      <c r="F146" s="63" t="s">
        <v>276</v>
      </c>
      <c r="G146" s="104"/>
      <c r="H146" s="105"/>
      <c r="I146" s="105"/>
      <c r="J146" s="105"/>
      <c r="K146" s="105"/>
      <c r="L146" s="105"/>
      <c r="M146" s="106"/>
      <c r="N146" s="67">
        <f t="shared" si="2"/>
        <v>0</v>
      </c>
      <c r="O146" s="67">
        <f t="shared" si="3"/>
        <v>0</v>
      </c>
      <c r="P146" s="104"/>
      <c r="Q146" s="105"/>
      <c r="R146" s="105"/>
      <c r="S146" s="105"/>
      <c r="T146" s="105"/>
      <c r="U146" s="105"/>
      <c r="V146" s="106"/>
      <c r="W146" s="168"/>
    </row>
    <row r="147" spans="1:23" ht="25.5" customHeight="1" x14ac:dyDescent="0.45">
      <c r="A147" s="231"/>
      <c r="B147" s="241"/>
      <c r="C147" s="239"/>
      <c r="D147" s="199"/>
      <c r="E147" s="212"/>
      <c r="F147" s="51" t="s">
        <v>277</v>
      </c>
      <c r="G147" s="104"/>
      <c r="H147" s="105"/>
      <c r="I147" s="105"/>
      <c r="J147" s="105"/>
      <c r="K147" s="105"/>
      <c r="L147" s="105"/>
      <c r="M147" s="106"/>
      <c r="N147" s="67">
        <f t="shared" si="2"/>
        <v>0</v>
      </c>
      <c r="O147" s="67">
        <f t="shared" si="3"/>
        <v>0</v>
      </c>
      <c r="P147" s="104"/>
      <c r="Q147" s="105"/>
      <c r="R147" s="105"/>
      <c r="S147" s="105"/>
      <c r="T147" s="105"/>
      <c r="U147" s="105"/>
      <c r="V147" s="106"/>
      <c r="W147" s="168"/>
    </row>
    <row r="148" spans="1:23" ht="25.5" customHeight="1" x14ac:dyDescent="0.45">
      <c r="A148" s="231"/>
      <c r="B148" s="241"/>
      <c r="C148" s="239"/>
      <c r="D148" s="199"/>
      <c r="E148" s="212"/>
      <c r="F148" s="51" t="s">
        <v>278</v>
      </c>
      <c r="G148" s="104"/>
      <c r="H148" s="105"/>
      <c r="I148" s="105"/>
      <c r="J148" s="105"/>
      <c r="K148" s="105"/>
      <c r="L148" s="105"/>
      <c r="M148" s="106"/>
      <c r="N148" s="67">
        <f t="shared" si="2"/>
        <v>0</v>
      </c>
      <c r="O148" s="67">
        <f t="shared" si="3"/>
        <v>0</v>
      </c>
      <c r="P148" s="104"/>
      <c r="Q148" s="105"/>
      <c r="R148" s="105"/>
      <c r="S148" s="105"/>
      <c r="T148" s="105"/>
      <c r="U148" s="105"/>
      <c r="V148" s="106"/>
      <c r="W148" s="168"/>
    </row>
    <row r="149" spans="1:23" ht="25.5" customHeight="1" x14ac:dyDescent="0.45">
      <c r="A149" s="231"/>
      <c r="B149" s="241"/>
      <c r="C149" s="239"/>
      <c r="D149" s="199"/>
      <c r="E149" s="212"/>
      <c r="F149" s="51" t="s">
        <v>279</v>
      </c>
      <c r="G149" s="104"/>
      <c r="H149" s="105"/>
      <c r="I149" s="105"/>
      <c r="J149" s="105"/>
      <c r="K149" s="105"/>
      <c r="L149" s="105"/>
      <c r="M149" s="106"/>
      <c r="N149" s="67">
        <f t="shared" si="2"/>
        <v>0</v>
      </c>
      <c r="O149" s="67">
        <f t="shared" si="3"/>
        <v>0</v>
      </c>
      <c r="P149" s="104"/>
      <c r="Q149" s="105"/>
      <c r="R149" s="105"/>
      <c r="S149" s="105"/>
      <c r="T149" s="105"/>
      <c r="U149" s="105"/>
      <c r="V149" s="106"/>
      <c r="W149" s="168"/>
    </row>
    <row r="150" spans="1:23" ht="25.5" customHeight="1" x14ac:dyDescent="0.45">
      <c r="A150" s="231"/>
      <c r="B150" s="241"/>
      <c r="C150" s="239"/>
      <c r="D150" s="199"/>
      <c r="E150" s="212"/>
      <c r="F150" s="51" t="s">
        <v>280</v>
      </c>
      <c r="G150" s="104"/>
      <c r="H150" s="105"/>
      <c r="I150" s="105"/>
      <c r="J150" s="105"/>
      <c r="K150" s="105"/>
      <c r="L150" s="105"/>
      <c r="M150" s="106"/>
      <c r="N150" s="67">
        <f t="shared" si="2"/>
        <v>0</v>
      </c>
      <c r="O150" s="67">
        <f t="shared" si="3"/>
        <v>0</v>
      </c>
      <c r="P150" s="104"/>
      <c r="Q150" s="105"/>
      <c r="R150" s="105"/>
      <c r="S150" s="105"/>
      <c r="T150" s="105"/>
      <c r="U150" s="105"/>
      <c r="V150" s="106"/>
      <c r="W150" s="168"/>
    </row>
    <row r="151" spans="1:23" ht="25.5" customHeight="1" x14ac:dyDescent="0.45">
      <c r="A151" s="231"/>
      <c r="B151" s="241"/>
      <c r="C151" s="239"/>
      <c r="D151" s="199"/>
      <c r="E151" s="212"/>
      <c r="F151" s="51" t="s">
        <v>281</v>
      </c>
      <c r="G151" s="104"/>
      <c r="H151" s="105"/>
      <c r="I151" s="105"/>
      <c r="J151" s="105"/>
      <c r="K151" s="105"/>
      <c r="L151" s="105"/>
      <c r="M151" s="106"/>
      <c r="N151" s="67">
        <f t="shared" si="2"/>
        <v>0</v>
      </c>
      <c r="O151" s="67">
        <f t="shared" si="3"/>
        <v>0</v>
      </c>
      <c r="P151" s="104"/>
      <c r="Q151" s="105"/>
      <c r="R151" s="105"/>
      <c r="S151" s="105"/>
      <c r="T151" s="105"/>
      <c r="U151" s="105"/>
      <c r="V151" s="106"/>
      <c r="W151" s="168"/>
    </row>
    <row r="152" spans="1:23" ht="25.5" customHeight="1" x14ac:dyDescent="0.45">
      <c r="A152" s="231"/>
      <c r="B152" s="241"/>
      <c r="C152" s="239"/>
      <c r="D152" s="199"/>
      <c r="E152" s="210"/>
      <c r="F152" s="51" t="s">
        <v>282</v>
      </c>
      <c r="G152" s="104"/>
      <c r="H152" s="105"/>
      <c r="I152" s="105"/>
      <c r="J152" s="105"/>
      <c r="K152" s="105"/>
      <c r="L152" s="105"/>
      <c r="M152" s="106"/>
      <c r="N152" s="67">
        <f t="shared" si="2"/>
        <v>0</v>
      </c>
      <c r="O152" s="67">
        <f t="shared" si="3"/>
        <v>0</v>
      </c>
      <c r="P152" s="104"/>
      <c r="Q152" s="105"/>
      <c r="R152" s="105"/>
      <c r="S152" s="105"/>
      <c r="T152" s="105"/>
      <c r="U152" s="105"/>
      <c r="V152" s="106"/>
      <c r="W152" s="168"/>
    </row>
    <row r="153" spans="1:23" x14ac:dyDescent="0.45">
      <c r="A153" s="231"/>
      <c r="B153" s="241"/>
      <c r="C153" s="239"/>
      <c r="D153" s="199">
        <v>18</v>
      </c>
      <c r="E153" s="54" t="s">
        <v>239</v>
      </c>
      <c r="F153" s="25" t="s">
        <v>103</v>
      </c>
      <c r="G153" s="104"/>
      <c r="H153" s="105"/>
      <c r="I153" s="105"/>
      <c r="J153" s="105"/>
      <c r="K153" s="105"/>
      <c r="L153" s="105"/>
      <c r="M153" s="106"/>
      <c r="N153" s="67">
        <f t="shared" si="2"/>
        <v>0</v>
      </c>
      <c r="O153" s="67">
        <f t="shared" si="3"/>
        <v>0</v>
      </c>
      <c r="P153" s="104"/>
      <c r="Q153" s="105"/>
      <c r="R153" s="105"/>
      <c r="S153" s="105"/>
      <c r="T153" s="105"/>
      <c r="U153" s="105"/>
      <c r="V153" s="106"/>
      <c r="W153" s="171"/>
    </row>
    <row r="154" spans="1:23" x14ac:dyDescent="0.45">
      <c r="A154" s="231"/>
      <c r="B154" s="241"/>
      <c r="C154" s="239"/>
      <c r="D154" s="199"/>
      <c r="E154" s="209" t="s">
        <v>246</v>
      </c>
      <c r="F154" s="51" t="s">
        <v>283</v>
      </c>
      <c r="G154" s="104"/>
      <c r="H154" s="105"/>
      <c r="I154" s="105"/>
      <c r="J154" s="105"/>
      <c r="K154" s="105"/>
      <c r="L154" s="105"/>
      <c r="M154" s="106"/>
      <c r="N154" s="67">
        <f t="shared" si="2"/>
        <v>0</v>
      </c>
      <c r="O154" s="67">
        <f t="shared" si="3"/>
        <v>0</v>
      </c>
      <c r="P154" s="104"/>
      <c r="Q154" s="105"/>
      <c r="R154" s="105"/>
      <c r="S154" s="105"/>
      <c r="T154" s="105"/>
      <c r="U154" s="105"/>
      <c r="V154" s="106"/>
      <c r="W154" s="168"/>
    </row>
    <row r="155" spans="1:23" x14ac:dyDescent="0.45">
      <c r="A155" s="231"/>
      <c r="B155" s="241"/>
      <c r="C155" s="239"/>
      <c r="D155" s="199"/>
      <c r="E155" s="210"/>
      <c r="F155" s="51" t="s">
        <v>284</v>
      </c>
      <c r="G155" s="104"/>
      <c r="H155" s="105"/>
      <c r="I155" s="105"/>
      <c r="J155" s="105"/>
      <c r="K155" s="105"/>
      <c r="L155" s="105"/>
      <c r="M155" s="106"/>
      <c r="N155" s="67">
        <f t="shared" si="2"/>
        <v>0</v>
      </c>
      <c r="O155" s="67">
        <f t="shared" si="3"/>
        <v>0</v>
      </c>
      <c r="P155" s="104"/>
      <c r="Q155" s="105"/>
      <c r="R155" s="105"/>
      <c r="S155" s="105"/>
      <c r="T155" s="105"/>
      <c r="U155" s="105"/>
      <c r="V155" s="106"/>
      <c r="W155" s="168"/>
    </row>
    <row r="156" spans="1:23" x14ac:dyDescent="0.45">
      <c r="A156" s="231"/>
      <c r="B156" s="241"/>
      <c r="C156" s="239"/>
      <c r="D156" s="199"/>
      <c r="E156" s="203" t="s">
        <v>333</v>
      </c>
      <c r="F156" s="51" t="s">
        <v>285</v>
      </c>
      <c r="G156" s="104"/>
      <c r="H156" s="105"/>
      <c r="I156" s="105"/>
      <c r="J156" s="105"/>
      <c r="K156" s="105"/>
      <c r="L156" s="105"/>
      <c r="M156" s="106"/>
      <c r="N156" s="67">
        <f t="shared" si="2"/>
        <v>0</v>
      </c>
      <c r="O156" s="67">
        <f t="shared" si="3"/>
        <v>0</v>
      </c>
      <c r="P156" s="104"/>
      <c r="Q156" s="105"/>
      <c r="R156" s="105"/>
      <c r="S156" s="105"/>
      <c r="T156" s="105"/>
      <c r="U156" s="105"/>
      <c r="V156" s="106"/>
      <c r="W156" s="168"/>
    </row>
    <row r="157" spans="1:23" x14ac:dyDescent="0.45">
      <c r="A157" s="231"/>
      <c r="B157" s="241"/>
      <c r="C157" s="239"/>
      <c r="D157" s="199"/>
      <c r="E157" s="201"/>
      <c r="F157" s="51" t="s">
        <v>286</v>
      </c>
      <c r="G157" s="104"/>
      <c r="H157" s="105"/>
      <c r="I157" s="105"/>
      <c r="J157" s="105"/>
      <c r="K157" s="105"/>
      <c r="L157" s="105"/>
      <c r="M157" s="106"/>
      <c r="N157" s="67">
        <f t="shared" si="2"/>
        <v>0</v>
      </c>
      <c r="O157" s="67">
        <f t="shared" si="3"/>
        <v>0</v>
      </c>
      <c r="P157" s="104"/>
      <c r="Q157" s="105"/>
      <c r="R157" s="105"/>
      <c r="S157" s="105"/>
      <c r="T157" s="105"/>
      <c r="U157" s="105"/>
      <c r="V157" s="106"/>
      <c r="W157" s="168"/>
    </row>
    <row r="158" spans="1:23" x14ac:dyDescent="0.45">
      <c r="A158" s="231"/>
      <c r="B158" s="241"/>
      <c r="C158" s="239"/>
      <c r="D158" s="199"/>
      <c r="E158" s="201"/>
      <c r="F158" s="51" t="s">
        <v>287</v>
      </c>
      <c r="G158" s="104"/>
      <c r="H158" s="105"/>
      <c r="I158" s="105"/>
      <c r="J158" s="105"/>
      <c r="K158" s="105"/>
      <c r="L158" s="105"/>
      <c r="M158" s="106"/>
      <c r="N158" s="67">
        <f t="shared" si="2"/>
        <v>0</v>
      </c>
      <c r="O158" s="67">
        <f t="shared" si="3"/>
        <v>0</v>
      </c>
      <c r="P158" s="104"/>
      <c r="Q158" s="105"/>
      <c r="R158" s="105"/>
      <c r="S158" s="105"/>
      <c r="T158" s="105"/>
      <c r="U158" s="105"/>
      <c r="V158" s="106"/>
      <c r="W158" s="168"/>
    </row>
    <row r="159" spans="1:23" x14ac:dyDescent="0.45">
      <c r="A159" s="231"/>
      <c r="B159" s="241"/>
      <c r="C159" s="239"/>
      <c r="D159" s="199"/>
      <c r="E159" s="202"/>
      <c r="F159" s="51" t="s">
        <v>288</v>
      </c>
      <c r="G159" s="104"/>
      <c r="H159" s="105"/>
      <c r="I159" s="105"/>
      <c r="J159" s="105"/>
      <c r="K159" s="105"/>
      <c r="L159" s="105"/>
      <c r="M159" s="106"/>
      <c r="N159" s="67">
        <f t="shared" si="2"/>
        <v>0</v>
      </c>
      <c r="O159" s="67">
        <f t="shared" si="3"/>
        <v>0</v>
      </c>
      <c r="P159" s="104"/>
      <c r="Q159" s="105"/>
      <c r="R159" s="105"/>
      <c r="S159" s="105"/>
      <c r="T159" s="105"/>
      <c r="U159" s="105"/>
      <c r="V159" s="106"/>
      <c r="W159" s="168"/>
    </row>
    <row r="160" spans="1:23" x14ac:dyDescent="0.45">
      <c r="A160" s="231"/>
      <c r="B160" s="241"/>
      <c r="C160" s="239"/>
      <c r="D160" s="199"/>
      <c r="E160" s="209" t="s">
        <v>244</v>
      </c>
      <c r="F160" s="51" t="s">
        <v>289</v>
      </c>
      <c r="G160" s="104"/>
      <c r="H160" s="105"/>
      <c r="I160" s="105"/>
      <c r="J160" s="105"/>
      <c r="K160" s="105"/>
      <c r="L160" s="105"/>
      <c r="M160" s="106"/>
      <c r="N160" s="67">
        <f t="shared" si="2"/>
        <v>0</v>
      </c>
      <c r="O160" s="67">
        <f t="shared" si="3"/>
        <v>0</v>
      </c>
      <c r="P160" s="104"/>
      <c r="Q160" s="105"/>
      <c r="R160" s="105"/>
      <c r="S160" s="105"/>
      <c r="T160" s="105"/>
      <c r="U160" s="105"/>
      <c r="V160" s="106"/>
      <c r="W160" s="168"/>
    </row>
    <row r="161" spans="1:23" x14ac:dyDescent="0.45">
      <c r="A161" s="231"/>
      <c r="B161" s="241"/>
      <c r="C161" s="239"/>
      <c r="D161" s="199"/>
      <c r="E161" s="212"/>
      <c r="F161" s="51" t="s">
        <v>290</v>
      </c>
      <c r="G161" s="104"/>
      <c r="H161" s="105"/>
      <c r="I161" s="105"/>
      <c r="J161" s="105"/>
      <c r="K161" s="105"/>
      <c r="L161" s="105"/>
      <c r="M161" s="106"/>
      <c r="N161" s="67">
        <f t="shared" si="2"/>
        <v>0</v>
      </c>
      <c r="O161" s="67">
        <f t="shared" si="3"/>
        <v>0</v>
      </c>
      <c r="P161" s="104"/>
      <c r="Q161" s="105"/>
      <c r="R161" s="105"/>
      <c r="S161" s="105"/>
      <c r="T161" s="105"/>
      <c r="U161" s="105"/>
      <c r="V161" s="106"/>
      <c r="W161" s="168"/>
    </row>
    <row r="162" spans="1:23" x14ac:dyDescent="0.45">
      <c r="A162" s="231"/>
      <c r="B162" s="241"/>
      <c r="C162" s="239"/>
      <c r="D162" s="199"/>
      <c r="E162" s="212"/>
      <c r="F162" s="51" t="s">
        <v>291</v>
      </c>
      <c r="G162" s="104"/>
      <c r="H162" s="105"/>
      <c r="I162" s="105"/>
      <c r="J162" s="105"/>
      <c r="K162" s="105"/>
      <c r="L162" s="105"/>
      <c r="M162" s="106"/>
      <c r="N162" s="67">
        <f t="shared" si="2"/>
        <v>0</v>
      </c>
      <c r="O162" s="67">
        <f t="shared" si="3"/>
        <v>0</v>
      </c>
      <c r="P162" s="104"/>
      <c r="Q162" s="105"/>
      <c r="R162" s="105"/>
      <c r="S162" s="105"/>
      <c r="T162" s="105"/>
      <c r="U162" s="105"/>
      <c r="V162" s="106"/>
      <c r="W162" s="168"/>
    </row>
    <row r="163" spans="1:23" x14ac:dyDescent="0.45">
      <c r="A163" s="231"/>
      <c r="B163" s="241"/>
      <c r="C163" s="239"/>
      <c r="D163" s="199"/>
      <c r="E163" s="212"/>
      <c r="F163" s="51" t="s">
        <v>292</v>
      </c>
      <c r="G163" s="104"/>
      <c r="H163" s="105"/>
      <c r="I163" s="105"/>
      <c r="J163" s="105"/>
      <c r="K163" s="105"/>
      <c r="L163" s="105"/>
      <c r="M163" s="106"/>
      <c r="N163" s="67">
        <f t="shared" si="2"/>
        <v>0</v>
      </c>
      <c r="O163" s="67">
        <f t="shared" si="3"/>
        <v>0</v>
      </c>
      <c r="P163" s="104"/>
      <c r="Q163" s="105"/>
      <c r="R163" s="105"/>
      <c r="S163" s="105"/>
      <c r="T163" s="105"/>
      <c r="U163" s="105"/>
      <c r="V163" s="106"/>
      <c r="W163" s="168"/>
    </row>
    <row r="164" spans="1:23" x14ac:dyDescent="0.45">
      <c r="A164" s="231"/>
      <c r="B164" s="241"/>
      <c r="C164" s="239"/>
      <c r="D164" s="199"/>
      <c r="E164" s="212"/>
      <c r="F164" s="51" t="s">
        <v>293</v>
      </c>
      <c r="G164" s="104"/>
      <c r="H164" s="105"/>
      <c r="I164" s="105"/>
      <c r="J164" s="105"/>
      <c r="K164" s="105"/>
      <c r="L164" s="105"/>
      <c r="M164" s="106"/>
      <c r="N164" s="67">
        <f t="shared" si="2"/>
        <v>0</v>
      </c>
      <c r="O164" s="67">
        <f t="shared" si="3"/>
        <v>0</v>
      </c>
      <c r="P164" s="104"/>
      <c r="Q164" s="105"/>
      <c r="R164" s="105"/>
      <c r="S164" s="105"/>
      <c r="T164" s="105"/>
      <c r="U164" s="105"/>
      <c r="V164" s="106"/>
      <c r="W164" s="168"/>
    </row>
    <row r="165" spans="1:23" x14ac:dyDescent="0.45">
      <c r="A165" s="231"/>
      <c r="B165" s="241"/>
      <c r="C165" s="239"/>
      <c r="D165" s="199"/>
      <c r="E165" s="212"/>
      <c r="F165" s="51" t="s">
        <v>294</v>
      </c>
      <c r="G165" s="104"/>
      <c r="H165" s="105"/>
      <c r="I165" s="105"/>
      <c r="J165" s="105"/>
      <c r="K165" s="105"/>
      <c r="L165" s="105"/>
      <c r="M165" s="106"/>
      <c r="N165" s="67">
        <f t="shared" si="2"/>
        <v>0</v>
      </c>
      <c r="O165" s="67">
        <f t="shared" si="3"/>
        <v>0</v>
      </c>
      <c r="P165" s="104"/>
      <c r="Q165" s="105"/>
      <c r="R165" s="105"/>
      <c r="S165" s="105"/>
      <c r="T165" s="105"/>
      <c r="U165" s="105"/>
      <c r="V165" s="106"/>
      <c r="W165" s="168"/>
    </row>
    <row r="166" spans="1:23" x14ac:dyDescent="0.45">
      <c r="A166" s="231"/>
      <c r="B166" s="241"/>
      <c r="C166" s="239"/>
      <c r="D166" s="199"/>
      <c r="E166" s="210"/>
      <c r="F166" s="51" t="s">
        <v>295</v>
      </c>
      <c r="G166" s="104"/>
      <c r="H166" s="105"/>
      <c r="I166" s="105"/>
      <c r="J166" s="105"/>
      <c r="K166" s="105"/>
      <c r="L166" s="105"/>
      <c r="M166" s="106"/>
      <c r="N166" s="67">
        <f t="shared" si="2"/>
        <v>0</v>
      </c>
      <c r="O166" s="67">
        <f t="shared" si="3"/>
        <v>0</v>
      </c>
      <c r="P166" s="104"/>
      <c r="Q166" s="105"/>
      <c r="R166" s="105"/>
      <c r="S166" s="105"/>
      <c r="T166" s="105"/>
      <c r="U166" s="105"/>
      <c r="V166" s="106"/>
      <c r="W166" s="168"/>
    </row>
    <row r="167" spans="1:23" x14ac:dyDescent="0.45">
      <c r="A167" s="231"/>
      <c r="B167" s="241"/>
      <c r="C167" s="239"/>
      <c r="D167" s="211">
        <v>19</v>
      </c>
      <c r="E167" s="55" t="s">
        <v>239</v>
      </c>
      <c r="F167" s="25" t="s">
        <v>296</v>
      </c>
      <c r="G167" s="104"/>
      <c r="H167" s="105"/>
      <c r="I167" s="105"/>
      <c r="J167" s="105"/>
      <c r="K167" s="105"/>
      <c r="L167" s="105"/>
      <c r="M167" s="106"/>
      <c r="N167" s="67">
        <f t="shared" si="2"/>
        <v>0</v>
      </c>
      <c r="O167" s="67">
        <f t="shared" si="3"/>
        <v>0</v>
      </c>
      <c r="P167" s="104"/>
      <c r="Q167" s="105"/>
      <c r="R167" s="105"/>
      <c r="S167" s="105"/>
      <c r="T167" s="105"/>
      <c r="U167" s="104"/>
      <c r="V167" s="106"/>
      <c r="W167" s="168"/>
    </row>
    <row r="168" spans="1:23" x14ac:dyDescent="0.45">
      <c r="A168" s="231"/>
      <c r="B168" s="241"/>
      <c r="C168" s="239"/>
      <c r="D168" s="211"/>
      <c r="E168" s="209" t="s">
        <v>246</v>
      </c>
      <c r="F168" s="51" t="s">
        <v>297</v>
      </c>
      <c r="G168" s="104"/>
      <c r="H168" s="105"/>
      <c r="I168" s="105"/>
      <c r="J168" s="105"/>
      <c r="K168" s="105"/>
      <c r="L168" s="105"/>
      <c r="M168" s="106"/>
      <c r="N168" s="67">
        <f t="shared" si="2"/>
        <v>0</v>
      </c>
      <c r="O168" s="67">
        <f t="shared" si="3"/>
        <v>0</v>
      </c>
      <c r="P168" s="104"/>
      <c r="Q168" s="105"/>
      <c r="R168" s="105"/>
      <c r="S168" s="105"/>
      <c r="T168" s="105"/>
      <c r="U168" s="105"/>
      <c r="V168" s="106"/>
      <c r="W168" s="168"/>
    </row>
    <row r="169" spans="1:23" x14ac:dyDescent="0.45">
      <c r="A169" s="231"/>
      <c r="B169" s="241"/>
      <c r="C169" s="239"/>
      <c r="D169" s="211"/>
      <c r="E169" s="210"/>
      <c r="F169" s="51" t="s">
        <v>298</v>
      </c>
      <c r="G169" s="104"/>
      <c r="H169" s="105"/>
      <c r="I169" s="105"/>
      <c r="J169" s="105"/>
      <c r="K169" s="105"/>
      <c r="L169" s="105"/>
      <c r="M169" s="106"/>
      <c r="N169" s="67">
        <f t="shared" si="2"/>
        <v>0</v>
      </c>
      <c r="O169" s="67">
        <f t="shared" si="3"/>
        <v>0</v>
      </c>
      <c r="P169" s="104"/>
      <c r="Q169" s="105"/>
      <c r="R169" s="105"/>
      <c r="S169" s="105"/>
      <c r="T169" s="105"/>
      <c r="U169" s="105"/>
      <c r="V169" s="106"/>
      <c r="W169" s="168"/>
    </row>
    <row r="170" spans="1:23" x14ac:dyDescent="0.45">
      <c r="A170" s="231"/>
      <c r="B170" s="241"/>
      <c r="C170" s="239"/>
      <c r="D170" s="211"/>
      <c r="E170" s="209" t="s">
        <v>243</v>
      </c>
      <c r="F170" s="51" t="s">
        <v>299</v>
      </c>
      <c r="G170" s="104"/>
      <c r="H170" s="105"/>
      <c r="I170" s="105"/>
      <c r="J170" s="105"/>
      <c r="K170" s="105"/>
      <c r="L170" s="105"/>
      <c r="M170" s="106"/>
      <c r="N170" s="67">
        <f t="shared" si="2"/>
        <v>0</v>
      </c>
      <c r="O170" s="67">
        <f t="shared" si="3"/>
        <v>0</v>
      </c>
      <c r="P170" s="104"/>
      <c r="Q170" s="105"/>
      <c r="R170" s="105"/>
      <c r="S170" s="105"/>
      <c r="T170" s="105"/>
      <c r="U170" s="105"/>
      <c r="V170" s="106"/>
      <c r="W170" s="168"/>
    </row>
    <row r="171" spans="1:23" x14ac:dyDescent="0.45">
      <c r="A171" s="231"/>
      <c r="B171" s="241"/>
      <c r="C171" s="239"/>
      <c r="D171" s="211"/>
      <c r="E171" s="210"/>
      <c r="F171" s="51" t="s">
        <v>300</v>
      </c>
      <c r="G171" s="104"/>
      <c r="H171" s="105"/>
      <c r="I171" s="105"/>
      <c r="J171" s="105"/>
      <c r="K171" s="105"/>
      <c r="L171" s="105"/>
      <c r="M171" s="106"/>
      <c r="N171" s="67">
        <f t="shared" si="2"/>
        <v>0</v>
      </c>
      <c r="O171" s="67">
        <f t="shared" si="3"/>
        <v>0</v>
      </c>
      <c r="P171" s="104"/>
      <c r="Q171" s="105"/>
      <c r="R171" s="105"/>
      <c r="S171" s="105"/>
      <c r="T171" s="105"/>
      <c r="U171" s="105"/>
      <c r="V171" s="106"/>
      <c r="W171" s="168"/>
    </row>
    <row r="172" spans="1:23" x14ac:dyDescent="0.45">
      <c r="A172" s="231"/>
      <c r="B172" s="241"/>
      <c r="C172" s="239"/>
      <c r="D172" s="211">
        <v>20</v>
      </c>
      <c r="E172" s="55" t="s">
        <v>239</v>
      </c>
      <c r="F172" s="25" t="s">
        <v>301</v>
      </c>
      <c r="G172" s="104"/>
      <c r="H172" s="105"/>
      <c r="I172" s="105"/>
      <c r="J172" s="105"/>
      <c r="K172" s="105"/>
      <c r="L172" s="105"/>
      <c r="M172" s="106"/>
      <c r="N172" s="67">
        <f t="shared" si="2"/>
        <v>0</v>
      </c>
      <c r="O172" s="67">
        <f t="shared" si="3"/>
        <v>0</v>
      </c>
      <c r="P172" s="104"/>
      <c r="Q172" s="105"/>
      <c r="R172" s="105"/>
      <c r="S172" s="105"/>
      <c r="T172" s="105"/>
      <c r="U172" s="104"/>
      <c r="V172" s="106"/>
      <c r="W172" s="168"/>
    </row>
    <row r="173" spans="1:23" x14ac:dyDescent="0.45">
      <c r="A173" s="231"/>
      <c r="B173" s="241"/>
      <c r="C173" s="239"/>
      <c r="D173" s="211"/>
      <c r="E173" s="209" t="s">
        <v>246</v>
      </c>
      <c r="F173" s="51" t="s">
        <v>303</v>
      </c>
      <c r="G173" s="104"/>
      <c r="H173" s="105"/>
      <c r="I173" s="105"/>
      <c r="J173" s="105"/>
      <c r="K173" s="105"/>
      <c r="L173" s="105"/>
      <c r="M173" s="106"/>
      <c r="N173" s="67">
        <f t="shared" ref="N173:N236" si="4">IF(AND(G173=""),0,IF(OR(G173=""),2,3))</f>
        <v>0</v>
      </c>
      <c r="O173" s="67">
        <f t="shared" ref="O173:O236" si="5">IF(AND(M173=""),0,IF(OR(M173=""),1,2))</f>
        <v>0</v>
      </c>
      <c r="P173" s="104"/>
      <c r="Q173" s="105"/>
      <c r="R173" s="105"/>
      <c r="S173" s="105"/>
      <c r="T173" s="105"/>
      <c r="U173" s="105"/>
      <c r="V173" s="106"/>
      <c r="W173" s="168"/>
    </row>
    <row r="174" spans="1:23" x14ac:dyDescent="0.45">
      <c r="A174" s="231"/>
      <c r="B174" s="241"/>
      <c r="C174" s="239"/>
      <c r="D174" s="211"/>
      <c r="E174" s="212"/>
      <c r="F174" s="51" t="s">
        <v>302</v>
      </c>
      <c r="G174" s="104"/>
      <c r="H174" s="105"/>
      <c r="I174" s="105"/>
      <c r="J174" s="105"/>
      <c r="K174" s="105"/>
      <c r="L174" s="105"/>
      <c r="M174" s="106"/>
      <c r="N174" s="67">
        <f t="shared" si="4"/>
        <v>0</v>
      </c>
      <c r="O174" s="67">
        <f t="shared" si="5"/>
        <v>0</v>
      </c>
      <c r="P174" s="104"/>
      <c r="Q174" s="105"/>
      <c r="R174" s="105"/>
      <c r="S174" s="105"/>
      <c r="T174" s="105"/>
      <c r="U174" s="105"/>
      <c r="V174" s="106"/>
      <c r="W174" s="168"/>
    </row>
    <row r="175" spans="1:23" x14ac:dyDescent="0.45">
      <c r="A175" s="231"/>
      <c r="B175" s="241"/>
      <c r="C175" s="239"/>
      <c r="D175" s="211"/>
      <c r="E175" s="212"/>
      <c r="F175" s="51" t="s">
        <v>304</v>
      </c>
      <c r="G175" s="104"/>
      <c r="H175" s="105"/>
      <c r="I175" s="105"/>
      <c r="J175" s="105"/>
      <c r="K175" s="105"/>
      <c r="L175" s="105"/>
      <c r="M175" s="106"/>
      <c r="N175" s="67">
        <f t="shared" si="4"/>
        <v>0</v>
      </c>
      <c r="O175" s="67">
        <f t="shared" si="5"/>
        <v>0</v>
      </c>
      <c r="P175" s="104"/>
      <c r="Q175" s="105"/>
      <c r="R175" s="105"/>
      <c r="S175" s="105"/>
      <c r="T175" s="105"/>
      <c r="U175" s="105"/>
      <c r="V175" s="106"/>
      <c r="W175" s="168"/>
    </row>
    <row r="176" spans="1:23" x14ac:dyDescent="0.45">
      <c r="A176" s="231"/>
      <c r="B176" s="241"/>
      <c r="C176" s="239"/>
      <c r="D176" s="211"/>
      <c r="E176" s="210"/>
      <c r="F176" s="51" t="s">
        <v>305</v>
      </c>
      <c r="G176" s="104"/>
      <c r="H176" s="105"/>
      <c r="I176" s="105"/>
      <c r="J176" s="105"/>
      <c r="K176" s="105"/>
      <c r="L176" s="105"/>
      <c r="M176" s="106"/>
      <c r="N176" s="67">
        <f t="shared" si="4"/>
        <v>0</v>
      </c>
      <c r="O176" s="67">
        <f t="shared" si="5"/>
        <v>0</v>
      </c>
      <c r="P176" s="104"/>
      <c r="Q176" s="105"/>
      <c r="R176" s="105"/>
      <c r="S176" s="105"/>
      <c r="T176" s="105"/>
      <c r="U176" s="105"/>
      <c r="V176" s="106"/>
      <c r="W176" s="168"/>
    </row>
    <row r="177" spans="1:23" x14ac:dyDescent="0.45">
      <c r="A177" s="231"/>
      <c r="B177" s="241"/>
      <c r="C177" s="239"/>
      <c r="D177" s="211"/>
      <c r="E177" s="203" t="s">
        <v>332</v>
      </c>
      <c r="F177" s="51" t="s">
        <v>306</v>
      </c>
      <c r="G177" s="104"/>
      <c r="H177" s="105"/>
      <c r="I177" s="105"/>
      <c r="J177" s="105"/>
      <c r="K177" s="105"/>
      <c r="L177" s="105"/>
      <c r="M177" s="106"/>
      <c r="N177" s="67">
        <f t="shared" si="4"/>
        <v>0</v>
      </c>
      <c r="O177" s="67">
        <f t="shared" si="5"/>
        <v>0</v>
      </c>
      <c r="P177" s="104"/>
      <c r="Q177" s="105"/>
      <c r="R177" s="105"/>
      <c r="S177" s="105"/>
      <c r="T177" s="105"/>
      <c r="U177" s="105"/>
      <c r="V177" s="106"/>
      <c r="W177" s="168"/>
    </row>
    <row r="178" spans="1:23" x14ac:dyDescent="0.45">
      <c r="A178" s="231"/>
      <c r="B178" s="241"/>
      <c r="C178" s="239"/>
      <c r="D178" s="211"/>
      <c r="E178" s="201"/>
      <c r="F178" s="51" t="s">
        <v>307</v>
      </c>
      <c r="G178" s="104"/>
      <c r="H178" s="105"/>
      <c r="I178" s="105"/>
      <c r="J178" s="105"/>
      <c r="K178" s="105"/>
      <c r="L178" s="105"/>
      <c r="M178" s="106"/>
      <c r="N178" s="67">
        <f t="shared" si="4"/>
        <v>0</v>
      </c>
      <c r="O178" s="67">
        <f t="shared" si="5"/>
        <v>0</v>
      </c>
      <c r="P178" s="104"/>
      <c r="Q178" s="105"/>
      <c r="R178" s="105"/>
      <c r="S178" s="105"/>
      <c r="T178" s="105"/>
      <c r="U178" s="105"/>
      <c r="V178" s="106"/>
      <c r="W178" s="168"/>
    </row>
    <row r="179" spans="1:23" x14ac:dyDescent="0.45">
      <c r="A179" s="231"/>
      <c r="B179" s="241"/>
      <c r="C179" s="239"/>
      <c r="D179" s="211"/>
      <c r="E179" s="201"/>
      <c r="F179" s="51" t="s">
        <v>308</v>
      </c>
      <c r="G179" s="104"/>
      <c r="H179" s="105"/>
      <c r="I179" s="105"/>
      <c r="J179" s="105"/>
      <c r="K179" s="105"/>
      <c r="L179" s="105"/>
      <c r="M179" s="106"/>
      <c r="N179" s="67">
        <f t="shared" si="4"/>
        <v>0</v>
      </c>
      <c r="O179" s="67">
        <f t="shared" si="5"/>
        <v>0</v>
      </c>
      <c r="P179" s="104"/>
      <c r="Q179" s="105"/>
      <c r="R179" s="105"/>
      <c r="S179" s="105"/>
      <c r="T179" s="105"/>
      <c r="U179" s="105"/>
      <c r="V179" s="106"/>
      <c r="W179" s="168"/>
    </row>
    <row r="180" spans="1:23" x14ac:dyDescent="0.45">
      <c r="A180" s="231"/>
      <c r="B180" s="241"/>
      <c r="C180" s="239"/>
      <c r="D180" s="211"/>
      <c r="E180" s="202"/>
      <c r="F180" s="51" t="s">
        <v>309</v>
      </c>
      <c r="G180" s="104"/>
      <c r="H180" s="105"/>
      <c r="I180" s="105"/>
      <c r="J180" s="105"/>
      <c r="K180" s="105"/>
      <c r="L180" s="105"/>
      <c r="M180" s="106"/>
      <c r="N180" s="67">
        <f t="shared" si="4"/>
        <v>0</v>
      </c>
      <c r="O180" s="67">
        <f t="shared" si="5"/>
        <v>0</v>
      </c>
      <c r="P180" s="104"/>
      <c r="Q180" s="105"/>
      <c r="R180" s="105"/>
      <c r="S180" s="105"/>
      <c r="T180" s="105"/>
      <c r="U180" s="105"/>
      <c r="V180" s="106"/>
      <c r="W180" s="168"/>
    </row>
    <row r="181" spans="1:23" x14ac:dyDescent="0.45">
      <c r="A181" s="231"/>
      <c r="B181" s="241"/>
      <c r="C181" s="239"/>
      <c r="D181" s="211">
        <v>21</v>
      </c>
      <c r="E181" s="55" t="s">
        <v>239</v>
      </c>
      <c r="F181" s="25" t="s">
        <v>310</v>
      </c>
      <c r="G181" s="104"/>
      <c r="H181" s="105"/>
      <c r="I181" s="105"/>
      <c r="J181" s="105"/>
      <c r="K181" s="105"/>
      <c r="L181" s="105"/>
      <c r="M181" s="106"/>
      <c r="N181" s="67">
        <f t="shared" si="4"/>
        <v>0</v>
      </c>
      <c r="O181" s="67">
        <f t="shared" si="5"/>
        <v>0</v>
      </c>
      <c r="P181" s="104"/>
      <c r="Q181" s="105"/>
      <c r="R181" s="105"/>
      <c r="S181" s="105"/>
      <c r="T181" s="105"/>
      <c r="U181" s="104"/>
      <c r="V181" s="106"/>
      <c r="W181" s="171"/>
    </row>
    <row r="182" spans="1:23" x14ac:dyDescent="0.45">
      <c r="A182" s="231"/>
      <c r="B182" s="241"/>
      <c r="C182" s="239"/>
      <c r="D182" s="211"/>
      <c r="E182" s="209" t="s">
        <v>246</v>
      </c>
      <c r="F182" s="51" t="s">
        <v>311</v>
      </c>
      <c r="G182" s="104"/>
      <c r="H182" s="105"/>
      <c r="I182" s="105"/>
      <c r="J182" s="105"/>
      <c r="K182" s="105"/>
      <c r="L182" s="105"/>
      <c r="M182" s="106"/>
      <c r="N182" s="67">
        <f t="shared" si="4"/>
        <v>0</v>
      </c>
      <c r="O182" s="67">
        <f t="shared" si="5"/>
        <v>0</v>
      </c>
      <c r="P182" s="104"/>
      <c r="Q182" s="105"/>
      <c r="R182" s="105"/>
      <c r="S182" s="105"/>
      <c r="T182" s="105"/>
      <c r="U182" s="105"/>
      <c r="V182" s="106"/>
      <c r="W182" s="171"/>
    </row>
    <row r="183" spans="1:23" x14ac:dyDescent="0.45">
      <c r="A183" s="231"/>
      <c r="B183" s="241"/>
      <c r="C183" s="239"/>
      <c r="D183" s="211"/>
      <c r="E183" s="210"/>
      <c r="F183" s="51" t="s">
        <v>312</v>
      </c>
      <c r="G183" s="104"/>
      <c r="H183" s="105"/>
      <c r="I183" s="105"/>
      <c r="J183" s="105"/>
      <c r="K183" s="105"/>
      <c r="L183" s="105"/>
      <c r="M183" s="106"/>
      <c r="N183" s="67">
        <f t="shared" si="4"/>
        <v>0</v>
      </c>
      <c r="O183" s="67">
        <f t="shared" si="5"/>
        <v>0</v>
      </c>
      <c r="P183" s="104"/>
      <c r="Q183" s="105"/>
      <c r="R183" s="105"/>
      <c r="S183" s="105"/>
      <c r="T183" s="105"/>
      <c r="U183" s="105"/>
      <c r="V183" s="106"/>
      <c r="W183" s="171"/>
    </row>
    <row r="184" spans="1:23" x14ac:dyDescent="0.45">
      <c r="A184" s="231"/>
      <c r="B184" s="241"/>
      <c r="C184" s="239"/>
      <c r="D184" s="211">
        <v>22</v>
      </c>
      <c r="E184" s="55" t="s">
        <v>239</v>
      </c>
      <c r="F184" s="25" t="s">
        <v>313</v>
      </c>
      <c r="G184" s="104"/>
      <c r="H184" s="105"/>
      <c r="I184" s="105"/>
      <c r="J184" s="105"/>
      <c r="K184" s="105"/>
      <c r="L184" s="105"/>
      <c r="M184" s="106"/>
      <c r="N184" s="67">
        <f t="shared" si="4"/>
        <v>0</v>
      </c>
      <c r="O184" s="67">
        <f t="shared" si="5"/>
        <v>0</v>
      </c>
      <c r="P184" s="104"/>
      <c r="Q184" s="105"/>
      <c r="R184" s="105"/>
      <c r="S184" s="105"/>
      <c r="T184" s="105"/>
      <c r="U184" s="105"/>
      <c r="V184" s="106"/>
      <c r="W184" s="171"/>
    </row>
    <row r="185" spans="1:23" x14ac:dyDescent="0.45">
      <c r="A185" s="231"/>
      <c r="B185" s="241"/>
      <c r="C185" s="239"/>
      <c r="D185" s="211"/>
      <c r="E185" s="209" t="s">
        <v>246</v>
      </c>
      <c r="F185" s="51" t="s">
        <v>318</v>
      </c>
      <c r="G185" s="104"/>
      <c r="H185" s="105"/>
      <c r="I185" s="105"/>
      <c r="J185" s="105"/>
      <c r="K185" s="105"/>
      <c r="L185" s="105"/>
      <c r="M185" s="106"/>
      <c r="N185" s="67">
        <f t="shared" si="4"/>
        <v>0</v>
      </c>
      <c r="O185" s="67">
        <f t="shared" si="5"/>
        <v>0</v>
      </c>
      <c r="P185" s="104"/>
      <c r="Q185" s="105"/>
      <c r="R185" s="105"/>
      <c r="S185" s="105"/>
      <c r="T185" s="105"/>
      <c r="U185" s="105"/>
      <c r="V185" s="106"/>
      <c r="W185" s="171"/>
    </row>
    <row r="186" spans="1:23" x14ac:dyDescent="0.45">
      <c r="A186" s="231"/>
      <c r="B186" s="241"/>
      <c r="C186" s="239"/>
      <c r="D186" s="211"/>
      <c r="E186" s="210"/>
      <c r="F186" s="51" t="s">
        <v>314</v>
      </c>
      <c r="G186" s="104"/>
      <c r="H186" s="105"/>
      <c r="I186" s="105"/>
      <c r="J186" s="105"/>
      <c r="K186" s="105"/>
      <c r="L186" s="105"/>
      <c r="M186" s="106"/>
      <c r="N186" s="67">
        <f t="shared" si="4"/>
        <v>0</v>
      </c>
      <c r="O186" s="67">
        <f t="shared" si="5"/>
        <v>0</v>
      </c>
      <c r="P186" s="104"/>
      <c r="Q186" s="105"/>
      <c r="R186" s="105"/>
      <c r="S186" s="105"/>
      <c r="T186" s="105"/>
      <c r="U186" s="105"/>
      <c r="V186" s="106"/>
      <c r="W186" s="171"/>
    </row>
    <row r="187" spans="1:23" x14ac:dyDescent="0.45">
      <c r="A187" s="231"/>
      <c r="B187" s="241"/>
      <c r="C187" s="239"/>
      <c r="D187" s="211"/>
      <c r="E187" s="209" t="s">
        <v>243</v>
      </c>
      <c r="F187" s="51" t="s">
        <v>319</v>
      </c>
      <c r="G187" s="104"/>
      <c r="H187" s="105"/>
      <c r="I187" s="105"/>
      <c r="J187" s="105"/>
      <c r="K187" s="105"/>
      <c r="L187" s="105"/>
      <c r="M187" s="106"/>
      <c r="N187" s="67">
        <f t="shared" si="4"/>
        <v>0</v>
      </c>
      <c r="O187" s="67">
        <f t="shared" si="5"/>
        <v>0</v>
      </c>
      <c r="P187" s="104"/>
      <c r="Q187" s="105"/>
      <c r="R187" s="105"/>
      <c r="S187" s="105"/>
      <c r="T187" s="105"/>
      <c r="U187" s="105"/>
      <c r="V187" s="106"/>
      <c r="W187" s="171"/>
    </row>
    <row r="188" spans="1:23" x14ac:dyDescent="0.45">
      <c r="A188" s="231"/>
      <c r="B188" s="241"/>
      <c r="C188" s="239"/>
      <c r="D188" s="211"/>
      <c r="E188" s="210"/>
      <c r="F188" s="51" t="s">
        <v>320</v>
      </c>
      <c r="G188" s="104"/>
      <c r="H188" s="105"/>
      <c r="I188" s="105"/>
      <c r="J188" s="105"/>
      <c r="K188" s="105"/>
      <c r="L188" s="105"/>
      <c r="M188" s="106"/>
      <c r="N188" s="67">
        <f t="shared" si="4"/>
        <v>0</v>
      </c>
      <c r="O188" s="67">
        <f t="shared" si="5"/>
        <v>0</v>
      </c>
      <c r="P188" s="104"/>
      <c r="Q188" s="105"/>
      <c r="R188" s="105"/>
      <c r="S188" s="105"/>
      <c r="T188" s="105"/>
      <c r="U188" s="105"/>
      <c r="V188" s="106"/>
      <c r="W188" s="171"/>
    </row>
    <row r="189" spans="1:23" x14ac:dyDescent="0.45">
      <c r="A189" s="231"/>
      <c r="B189" s="241"/>
      <c r="C189" s="239"/>
      <c r="D189" s="211"/>
      <c r="E189" s="209" t="s">
        <v>244</v>
      </c>
      <c r="F189" s="51" t="s">
        <v>315</v>
      </c>
      <c r="G189" s="104"/>
      <c r="H189" s="105"/>
      <c r="I189" s="105"/>
      <c r="J189" s="105"/>
      <c r="K189" s="105"/>
      <c r="L189" s="105"/>
      <c r="M189" s="106"/>
      <c r="N189" s="67">
        <f t="shared" si="4"/>
        <v>0</v>
      </c>
      <c r="O189" s="67">
        <f t="shared" si="5"/>
        <v>0</v>
      </c>
      <c r="P189" s="104"/>
      <c r="Q189" s="105"/>
      <c r="R189" s="105"/>
      <c r="S189" s="105"/>
      <c r="T189" s="105"/>
      <c r="U189" s="105"/>
      <c r="V189" s="106"/>
      <c r="W189" s="171"/>
    </row>
    <row r="190" spans="1:23" x14ac:dyDescent="0.45">
      <c r="A190" s="231"/>
      <c r="B190" s="241"/>
      <c r="C190" s="239"/>
      <c r="D190" s="211"/>
      <c r="E190" s="212"/>
      <c r="F190" s="51" t="s">
        <v>316</v>
      </c>
      <c r="G190" s="104"/>
      <c r="H190" s="105"/>
      <c r="I190" s="105"/>
      <c r="J190" s="105"/>
      <c r="K190" s="105"/>
      <c r="L190" s="105"/>
      <c r="M190" s="106"/>
      <c r="N190" s="67">
        <f t="shared" si="4"/>
        <v>0</v>
      </c>
      <c r="O190" s="67">
        <f t="shared" si="5"/>
        <v>0</v>
      </c>
      <c r="P190" s="104"/>
      <c r="Q190" s="105"/>
      <c r="R190" s="105"/>
      <c r="S190" s="105"/>
      <c r="T190" s="105"/>
      <c r="U190" s="105"/>
      <c r="V190" s="106"/>
      <c r="W190" s="171"/>
    </row>
    <row r="191" spans="1:23" x14ac:dyDescent="0.45">
      <c r="A191" s="231"/>
      <c r="B191" s="241"/>
      <c r="C191" s="239"/>
      <c r="D191" s="211"/>
      <c r="E191" s="210"/>
      <c r="F191" s="51" t="s">
        <v>317</v>
      </c>
      <c r="G191" s="104"/>
      <c r="H191" s="105"/>
      <c r="I191" s="105"/>
      <c r="J191" s="105"/>
      <c r="K191" s="105"/>
      <c r="L191" s="105"/>
      <c r="M191" s="106"/>
      <c r="N191" s="67">
        <f t="shared" si="4"/>
        <v>0</v>
      </c>
      <c r="O191" s="67">
        <f t="shared" si="5"/>
        <v>0</v>
      </c>
      <c r="P191" s="104"/>
      <c r="Q191" s="105"/>
      <c r="R191" s="105"/>
      <c r="S191" s="105"/>
      <c r="T191" s="105"/>
      <c r="U191" s="105"/>
      <c r="V191" s="106"/>
      <c r="W191" s="171"/>
    </row>
    <row r="192" spans="1:23" x14ac:dyDescent="0.45">
      <c r="A192" s="231"/>
      <c r="B192" s="241"/>
      <c r="C192" s="239"/>
      <c r="D192" s="211">
        <v>23</v>
      </c>
      <c r="E192" s="55" t="s">
        <v>239</v>
      </c>
      <c r="F192" s="25" t="s">
        <v>321</v>
      </c>
      <c r="G192" s="104"/>
      <c r="H192" s="105"/>
      <c r="I192" s="105"/>
      <c r="J192" s="192"/>
      <c r="K192" s="192"/>
      <c r="L192" s="192"/>
      <c r="M192" s="197"/>
      <c r="N192" s="67">
        <f t="shared" si="4"/>
        <v>0</v>
      </c>
      <c r="O192" s="67">
        <f t="shared" si="5"/>
        <v>0</v>
      </c>
      <c r="P192" s="104"/>
      <c r="Q192" s="105"/>
      <c r="R192" s="105"/>
      <c r="S192" s="105"/>
      <c r="T192" s="105"/>
      <c r="U192" s="105"/>
      <c r="V192" s="105"/>
      <c r="W192" s="171"/>
    </row>
    <row r="193" spans="1:23" x14ac:dyDescent="0.45">
      <c r="A193" s="231"/>
      <c r="B193" s="241"/>
      <c r="C193" s="239"/>
      <c r="D193" s="211"/>
      <c r="E193" s="209" t="s">
        <v>246</v>
      </c>
      <c r="F193" s="51" t="s">
        <v>323</v>
      </c>
      <c r="G193" s="104"/>
      <c r="H193" s="105"/>
      <c r="I193" s="105"/>
      <c r="J193" s="105"/>
      <c r="K193" s="105"/>
      <c r="L193" s="105"/>
      <c r="M193" s="106"/>
      <c r="N193" s="67">
        <f t="shared" si="4"/>
        <v>0</v>
      </c>
      <c r="O193" s="67">
        <f t="shared" si="5"/>
        <v>0</v>
      </c>
      <c r="P193" s="104"/>
      <c r="Q193" s="105"/>
      <c r="R193" s="105"/>
      <c r="S193" s="105"/>
      <c r="T193" s="105"/>
      <c r="U193" s="105"/>
      <c r="V193" s="106"/>
      <c r="W193" s="171"/>
    </row>
    <row r="194" spans="1:23" x14ac:dyDescent="0.45">
      <c r="A194" s="231"/>
      <c r="B194" s="241"/>
      <c r="C194" s="239"/>
      <c r="D194" s="211"/>
      <c r="E194" s="210"/>
      <c r="F194" s="51" t="s">
        <v>322</v>
      </c>
      <c r="G194" s="104"/>
      <c r="H194" s="105"/>
      <c r="I194" s="105"/>
      <c r="J194" s="105"/>
      <c r="K194" s="105"/>
      <c r="L194" s="105"/>
      <c r="M194" s="106"/>
      <c r="N194" s="67">
        <f t="shared" si="4"/>
        <v>0</v>
      </c>
      <c r="O194" s="67">
        <f t="shared" si="5"/>
        <v>0</v>
      </c>
      <c r="P194" s="104"/>
      <c r="Q194" s="105"/>
      <c r="R194" s="105"/>
      <c r="S194" s="105"/>
      <c r="T194" s="105"/>
      <c r="U194" s="105"/>
      <c r="V194" s="106"/>
      <c r="W194" s="171"/>
    </row>
    <row r="195" spans="1:23" x14ac:dyDescent="0.45">
      <c r="A195" s="231"/>
      <c r="B195" s="241"/>
      <c r="C195" s="239"/>
      <c r="D195" s="211"/>
      <c r="E195" s="209" t="s">
        <v>243</v>
      </c>
      <c r="F195" s="51" t="s">
        <v>324</v>
      </c>
      <c r="G195" s="104"/>
      <c r="H195" s="105"/>
      <c r="I195" s="105"/>
      <c r="J195" s="192"/>
      <c r="K195" s="192"/>
      <c r="L195" s="192"/>
      <c r="M195" s="197"/>
      <c r="N195" s="67">
        <f t="shared" si="4"/>
        <v>0</v>
      </c>
      <c r="O195" s="67">
        <f t="shared" si="5"/>
        <v>0</v>
      </c>
      <c r="P195" s="104"/>
      <c r="Q195" s="105"/>
      <c r="R195" s="105"/>
      <c r="S195" s="105"/>
      <c r="T195" s="105"/>
      <c r="U195" s="105"/>
      <c r="V195" s="106"/>
      <c r="W195" s="171"/>
    </row>
    <row r="196" spans="1:23" x14ac:dyDescent="0.45">
      <c r="A196" s="231"/>
      <c r="B196" s="241"/>
      <c r="C196" s="239"/>
      <c r="D196" s="211"/>
      <c r="E196" s="210"/>
      <c r="F196" s="51" t="s">
        <v>325</v>
      </c>
      <c r="G196" s="104"/>
      <c r="H196" s="105"/>
      <c r="I196" s="105"/>
      <c r="J196" s="192"/>
      <c r="K196" s="192"/>
      <c r="L196" s="192"/>
      <c r="M196" s="197"/>
      <c r="N196" s="67">
        <f t="shared" si="4"/>
        <v>0</v>
      </c>
      <c r="O196" s="67">
        <f t="shared" si="5"/>
        <v>0</v>
      </c>
      <c r="P196" s="104"/>
      <c r="Q196" s="105"/>
      <c r="R196" s="105"/>
      <c r="S196" s="105"/>
      <c r="T196" s="105"/>
      <c r="U196" s="105"/>
      <c r="V196" s="106"/>
      <c r="W196" s="171"/>
    </row>
    <row r="197" spans="1:23" x14ac:dyDescent="0.45">
      <c r="A197" s="231"/>
      <c r="B197" s="241"/>
      <c r="C197" s="239"/>
      <c r="D197" s="211">
        <v>24</v>
      </c>
      <c r="E197" s="55" t="s">
        <v>239</v>
      </c>
      <c r="F197" s="25" t="s">
        <v>104</v>
      </c>
      <c r="G197" s="104"/>
      <c r="H197" s="105"/>
      <c r="I197" s="105"/>
      <c r="J197" s="105"/>
      <c r="K197" s="105"/>
      <c r="L197" s="105"/>
      <c r="M197" s="106"/>
      <c r="N197" s="67">
        <f t="shared" si="4"/>
        <v>0</v>
      </c>
      <c r="O197" s="67">
        <f t="shared" si="5"/>
        <v>0</v>
      </c>
      <c r="P197" s="104"/>
      <c r="Q197" s="105"/>
      <c r="R197" s="105"/>
      <c r="S197" s="105"/>
      <c r="T197" s="105"/>
      <c r="U197" s="105"/>
      <c r="V197" s="106"/>
      <c r="W197" s="171"/>
    </row>
    <row r="198" spans="1:23" x14ac:dyDescent="0.45">
      <c r="A198" s="231"/>
      <c r="B198" s="241"/>
      <c r="C198" s="239"/>
      <c r="D198" s="211"/>
      <c r="E198" s="209" t="s">
        <v>246</v>
      </c>
      <c r="F198" s="51" t="s">
        <v>323</v>
      </c>
      <c r="G198" s="104"/>
      <c r="H198" s="105"/>
      <c r="I198" s="105"/>
      <c r="J198" s="105"/>
      <c r="K198" s="105"/>
      <c r="L198" s="105"/>
      <c r="M198" s="106"/>
      <c r="N198" s="67">
        <f t="shared" si="4"/>
        <v>0</v>
      </c>
      <c r="O198" s="67">
        <f t="shared" si="5"/>
        <v>0</v>
      </c>
      <c r="P198" s="104"/>
      <c r="Q198" s="105"/>
      <c r="R198" s="105"/>
      <c r="S198" s="105"/>
      <c r="T198" s="105"/>
      <c r="U198" s="105"/>
      <c r="V198" s="106"/>
      <c r="W198" s="171"/>
    </row>
    <row r="199" spans="1:23" x14ac:dyDescent="0.45">
      <c r="A199" s="231"/>
      <c r="B199" s="241"/>
      <c r="C199" s="239"/>
      <c r="D199" s="211"/>
      <c r="E199" s="210"/>
      <c r="F199" s="51" t="s">
        <v>322</v>
      </c>
      <c r="G199" s="104"/>
      <c r="H199" s="105"/>
      <c r="I199" s="105"/>
      <c r="J199" s="105"/>
      <c r="K199" s="105"/>
      <c r="L199" s="105"/>
      <c r="M199" s="106"/>
      <c r="N199" s="67">
        <f t="shared" si="4"/>
        <v>0</v>
      </c>
      <c r="O199" s="67">
        <f t="shared" si="5"/>
        <v>0</v>
      </c>
      <c r="P199" s="104"/>
      <c r="Q199" s="105"/>
      <c r="R199" s="105"/>
      <c r="S199" s="105"/>
      <c r="T199" s="105"/>
      <c r="U199" s="105"/>
      <c r="V199" s="106"/>
      <c r="W199" s="171"/>
    </row>
    <row r="200" spans="1:23" x14ac:dyDescent="0.45">
      <c r="A200" s="231"/>
      <c r="B200" s="241"/>
      <c r="C200" s="239"/>
      <c r="D200" s="211"/>
      <c r="E200" s="209" t="s">
        <v>243</v>
      </c>
      <c r="F200" s="51" t="s">
        <v>324</v>
      </c>
      <c r="G200" s="104"/>
      <c r="H200" s="105"/>
      <c r="I200" s="105"/>
      <c r="J200" s="105"/>
      <c r="K200" s="105"/>
      <c r="L200" s="105"/>
      <c r="M200" s="106"/>
      <c r="N200" s="67">
        <f t="shared" si="4"/>
        <v>0</v>
      </c>
      <c r="O200" s="67">
        <f t="shared" si="5"/>
        <v>0</v>
      </c>
      <c r="P200" s="104"/>
      <c r="Q200" s="105"/>
      <c r="R200" s="105"/>
      <c r="S200" s="105"/>
      <c r="T200" s="105"/>
      <c r="U200" s="105"/>
      <c r="V200" s="106"/>
      <c r="W200" s="171"/>
    </row>
    <row r="201" spans="1:23" x14ac:dyDescent="0.45">
      <c r="A201" s="231"/>
      <c r="B201" s="241"/>
      <c r="C201" s="239"/>
      <c r="D201" s="211"/>
      <c r="E201" s="210"/>
      <c r="F201" s="51" t="s">
        <v>325</v>
      </c>
      <c r="G201" s="104"/>
      <c r="H201" s="105"/>
      <c r="I201" s="105"/>
      <c r="J201" s="105"/>
      <c r="K201" s="105"/>
      <c r="L201" s="105"/>
      <c r="M201" s="106"/>
      <c r="N201" s="67">
        <f t="shared" si="4"/>
        <v>0</v>
      </c>
      <c r="O201" s="67">
        <f t="shared" si="5"/>
        <v>0</v>
      </c>
      <c r="P201" s="104"/>
      <c r="Q201" s="105"/>
      <c r="R201" s="105"/>
      <c r="S201" s="105"/>
      <c r="T201" s="105"/>
      <c r="U201" s="105"/>
      <c r="V201" s="106"/>
      <c r="W201" s="171"/>
    </row>
    <row r="202" spans="1:23" x14ac:dyDescent="0.45">
      <c r="A202" s="231"/>
      <c r="B202" s="241"/>
      <c r="C202" s="239"/>
      <c r="D202" s="211">
        <v>25</v>
      </c>
      <c r="E202" s="209" t="s">
        <v>239</v>
      </c>
      <c r="F202" s="25" t="s">
        <v>105</v>
      </c>
      <c r="G202" s="104"/>
      <c r="H202" s="105"/>
      <c r="I202" s="105"/>
      <c r="J202" s="105"/>
      <c r="K202" s="105"/>
      <c r="L202" s="105"/>
      <c r="M202" s="106"/>
      <c r="N202" s="67">
        <f t="shared" si="4"/>
        <v>0</v>
      </c>
      <c r="O202" s="67">
        <f t="shared" si="5"/>
        <v>0</v>
      </c>
      <c r="P202" s="104"/>
      <c r="Q202" s="105"/>
      <c r="R202" s="105"/>
      <c r="S202" s="105"/>
      <c r="T202" s="105"/>
      <c r="U202" s="105"/>
      <c r="V202" s="106"/>
      <c r="W202" s="171"/>
    </row>
    <row r="203" spans="1:23" x14ac:dyDescent="0.45">
      <c r="A203" s="231"/>
      <c r="B203" s="241"/>
      <c r="C203" s="239"/>
      <c r="D203" s="211"/>
      <c r="E203" s="210"/>
      <c r="F203" s="51" t="s">
        <v>326</v>
      </c>
      <c r="G203" s="116"/>
      <c r="H203" s="117"/>
      <c r="I203" s="117"/>
      <c r="J203" s="117"/>
      <c r="K203" s="117"/>
      <c r="L203" s="117"/>
      <c r="M203" s="118"/>
      <c r="N203" s="67">
        <f t="shared" si="4"/>
        <v>0</v>
      </c>
      <c r="O203" s="67">
        <f t="shared" si="5"/>
        <v>0</v>
      </c>
      <c r="P203" s="116"/>
      <c r="Q203" s="117"/>
      <c r="R203" s="117"/>
      <c r="S203" s="117"/>
      <c r="T203" s="117"/>
      <c r="U203" s="117"/>
      <c r="V203" s="118"/>
      <c r="W203" s="171"/>
    </row>
    <row r="204" spans="1:23" x14ac:dyDescent="0.45">
      <c r="A204" s="231"/>
      <c r="B204" s="241"/>
      <c r="C204" s="239"/>
      <c r="D204" s="207">
        <v>26</v>
      </c>
      <c r="E204" s="56" t="s">
        <v>239</v>
      </c>
      <c r="F204" s="25" t="s">
        <v>106</v>
      </c>
      <c r="G204" s="116"/>
      <c r="H204" s="117"/>
      <c r="I204" s="117"/>
      <c r="J204" s="117"/>
      <c r="K204" s="117"/>
      <c r="L204" s="117"/>
      <c r="M204" s="118"/>
      <c r="N204" s="67">
        <f t="shared" si="4"/>
        <v>0</v>
      </c>
      <c r="O204" s="67">
        <f t="shared" si="5"/>
        <v>0</v>
      </c>
      <c r="P204" s="104"/>
      <c r="Q204" s="117"/>
      <c r="R204" s="117"/>
      <c r="S204" s="105"/>
      <c r="T204" s="117"/>
      <c r="U204" s="117"/>
      <c r="V204" s="118"/>
      <c r="W204" s="172"/>
    </row>
    <row r="205" spans="1:23" x14ac:dyDescent="0.45">
      <c r="A205" s="231"/>
      <c r="B205" s="241"/>
      <c r="C205" s="239"/>
      <c r="D205" s="207"/>
      <c r="E205" s="209" t="s">
        <v>246</v>
      </c>
      <c r="F205" s="51" t="s">
        <v>328</v>
      </c>
      <c r="G205" s="116"/>
      <c r="H205" s="117"/>
      <c r="I205" s="117"/>
      <c r="J205" s="117"/>
      <c r="K205" s="117"/>
      <c r="L205" s="117"/>
      <c r="M205" s="118"/>
      <c r="N205" s="67">
        <f t="shared" si="4"/>
        <v>0</v>
      </c>
      <c r="O205" s="67">
        <f t="shared" si="5"/>
        <v>0</v>
      </c>
      <c r="P205" s="116"/>
      <c r="Q205" s="117"/>
      <c r="R205" s="117"/>
      <c r="S205" s="117"/>
      <c r="T205" s="117"/>
      <c r="U205" s="117"/>
      <c r="V205" s="118"/>
      <c r="W205" s="172"/>
    </row>
    <row r="206" spans="1:23" x14ac:dyDescent="0.45">
      <c r="A206" s="231"/>
      <c r="B206" s="241"/>
      <c r="C206" s="239"/>
      <c r="D206" s="207"/>
      <c r="E206" s="210"/>
      <c r="F206" s="52" t="s">
        <v>327</v>
      </c>
      <c r="G206" s="116"/>
      <c r="H206" s="117"/>
      <c r="I206" s="117"/>
      <c r="J206" s="117"/>
      <c r="K206" s="117"/>
      <c r="L206" s="117"/>
      <c r="M206" s="118"/>
      <c r="N206" s="67">
        <f t="shared" si="4"/>
        <v>0</v>
      </c>
      <c r="O206" s="67">
        <f t="shared" si="5"/>
        <v>0</v>
      </c>
      <c r="P206" s="116"/>
      <c r="Q206" s="117"/>
      <c r="R206" s="117"/>
      <c r="S206" s="117"/>
      <c r="T206" s="117"/>
      <c r="U206" s="117"/>
      <c r="V206" s="118"/>
      <c r="W206" s="172"/>
    </row>
    <row r="207" spans="1:23" x14ac:dyDescent="0.45">
      <c r="A207" s="231"/>
      <c r="B207" s="241"/>
      <c r="C207" s="239"/>
      <c r="D207" s="207"/>
      <c r="E207" s="209" t="s">
        <v>240</v>
      </c>
      <c r="F207" s="52" t="s">
        <v>329</v>
      </c>
      <c r="G207" s="116"/>
      <c r="H207" s="117"/>
      <c r="I207" s="117"/>
      <c r="J207" s="117"/>
      <c r="K207" s="117"/>
      <c r="L207" s="117"/>
      <c r="M207" s="118"/>
      <c r="N207" s="67">
        <f t="shared" si="4"/>
        <v>0</v>
      </c>
      <c r="O207" s="67">
        <f t="shared" si="5"/>
        <v>0</v>
      </c>
      <c r="P207" s="116"/>
      <c r="Q207" s="117"/>
      <c r="R207" s="117"/>
      <c r="S207" s="117"/>
      <c r="T207" s="117"/>
      <c r="U207" s="117"/>
      <c r="V207" s="118"/>
      <c r="W207" s="172"/>
    </row>
    <row r="208" spans="1:23" ht="19" thickBot="1" x14ac:dyDescent="0.5">
      <c r="A208" s="231"/>
      <c r="B208" s="241"/>
      <c r="C208" s="239"/>
      <c r="D208" s="208"/>
      <c r="E208" s="210"/>
      <c r="F208" s="52" t="s">
        <v>330</v>
      </c>
      <c r="G208" s="116"/>
      <c r="H208" s="117"/>
      <c r="I208" s="117"/>
      <c r="J208" s="117"/>
      <c r="K208" s="117"/>
      <c r="L208" s="117"/>
      <c r="M208" s="118"/>
      <c r="N208" s="67">
        <f t="shared" si="4"/>
        <v>0</v>
      </c>
      <c r="O208" s="67">
        <f t="shared" si="5"/>
        <v>0</v>
      </c>
      <c r="P208" s="116"/>
      <c r="Q208" s="117"/>
      <c r="R208" s="117"/>
      <c r="S208" s="117"/>
      <c r="T208" s="117"/>
      <c r="U208" s="117"/>
      <c r="V208" s="118"/>
      <c r="W208" s="172"/>
    </row>
    <row r="209" spans="1:23" x14ac:dyDescent="0.45">
      <c r="A209" s="231"/>
      <c r="B209" s="245" t="s">
        <v>189</v>
      </c>
      <c r="C209" s="233"/>
      <c r="D209" s="198">
        <v>27</v>
      </c>
      <c r="E209" s="200" t="s">
        <v>239</v>
      </c>
      <c r="F209" s="26" t="s">
        <v>107</v>
      </c>
      <c r="G209" s="112"/>
      <c r="H209" s="113"/>
      <c r="I209" s="113"/>
      <c r="J209" s="113"/>
      <c r="K209" s="113"/>
      <c r="L209" s="113"/>
      <c r="M209" s="114"/>
      <c r="N209" s="67">
        <f t="shared" si="4"/>
        <v>0</v>
      </c>
      <c r="O209" s="67">
        <f t="shared" si="5"/>
        <v>0</v>
      </c>
      <c r="P209" s="112"/>
      <c r="Q209" s="112"/>
      <c r="R209" s="112"/>
      <c r="S209" s="112"/>
      <c r="T209" s="112"/>
      <c r="U209" s="113"/>
      <c r="V209" s="114"/>
      <c r="W209" s="173"/>
    </row>
    <row r="210" spans="1:23" x14ac:dyDescent="0.45">
      <c r="A210" s="231"/>
      <c r="B210" s="236"/>
      <c r="C210" s="234"/>
      <c r="D210" s="199"/>
      <c r="E210" s="201"/>
      <c r="F210" s="51" t="s">
        <v>108</v>
      </c>
      <c r="G210" s="104"/>
      <c r="H210" s="105"/>
      <c r="I210" s="105"/>
      <c r="J210" s="105"/>
      <c r="K210" s="105"/>
      <c r="L210" s="105"/>
      <c r="M210" s="106"/>
      <c r="N210" s="67">
        <f t="shared" si="4"/>
        <v>0</v>
      </c>
      <c r="O210" s="67">
        <f t="shared" si="5"/>
        <v>0</v>
      </c>
      <c r="P210" s="104"/>
      <c r="Q210" s="105"/>
      <c r="R210" s="105"/>
      <c r="S210" s="105"/>
      <c r="T210" s="105"/>
      <c r="U210" s="105"/>
      <c r="V210" s="106"/>
      <c r="W210" s="171"/>
    </row>
    <row r="211" spans="1:23" x14ac:dyDescent="0.45">
      <c r="A211" s="231"/>
      <c r="B211" s="236"/>
      <c r="C211" s="234"/>
      <c r="D211" s="199"/>
      <c r="E211" s="202"/>
      <c r="F211" s="51" t="s">
        <v>109</v>
      </c>
      <c r="G211" s="104"/>
      <c r="H211" s="105"/>
      <c r="I211" s="105"/>
      <c r="J211" s="105"/>
      <c r="K211" s="105"/>
      <c r="L211" s="105"/>
      <c r="M211" s="106"/>
      <c r="N211" s="67">
        <f t="shared" si="4"/>
        <v>0</v>
      </c>
      <c r="O211" s="67">
        <f t="shared" si="5"/>
        <v>0</v>
      </c>
      <c r="P211" s="104"/>
      <c r="Q211" s="105"/>
      <c r="R211" s="105"/>
      <c r="S211" s="105"/>
      <c r="T211" s="105"/>
      <c r="U211" s="105"/>
      <c r="V211" s="106"/>
      <c r="W211" s="171"/>
    </row>
    <row r="212" spans="1:23" x14ac:dyDescent="0.45">
      <c r="A212" s="231"/>
      <c r="B212" s="236"/>
      <c r="C212" s="234"/>
      <c r="D212" s="199">
        <v>16</v>
      </c>
      <c r="E212" s="203" t="s">
        <v>239</v>
      </c>
      <c r="F212" s="27" t="s">
        <v>112</v>
      </c>
      <c r="G212" s="104"/>
      <c r="H212" s="105"/>
      <c r="I212" s="105"/>
      <c r="J212" s="105"/>
      <c r="K212" s="105"/>
      <c r="L212" s="105"/>
      <c r="M212" s="106"/>
      <c r="N212" s="67">
        <f t="shared" si="4"/>
        <v>0</v>
      </c>
      <c r="O212" s="67">
        <f t="shared" si="5"/>
        <v>0</v>
      </c>
      <c r="P212" s="104"/>
      <c r="Q212" s="105"/>
      <c r="R212" s="105"/>
      <c r="S212" s="105"/>
      <c r="T212" s="105"/>
      <c r="U212" s="105"/>
      <c r="V212" s="106"/>
      <c r="W212" s="171"/>
    </row>
    <row r="213" spans="1:23" x14ac:dyDescent="0.45">
      <c r="A213" s="231"/>
      <c r="B213" s="236"/>
      <c r="C213" s="234"/>
      <c r="D213" s="199"/>
      <c r="E213" s="202"/>
      <c r="F213" s="52" t="s">
        <v>113</v>
      </c>
      <c r="G213" s="104"/>
      <c r="H213" s="105"/>
      <c r="I213" s="105"/>
      <c r="J213" s="105"/>
      <c r="K213" s="105"/>
      <c r="L213" s="105"/>
      <c r="M213" s="106"/>
      <c r="N213" s="67">
        <f t="shared" si="4"/>
        <v>0</v>
      </c>
      <c r="O213" s="67">
        <f t="shared" si="5"/>
        <v>0</v>
      </c>
      <c r="P213" s="104"/>
      <c r="Q213" s="105"/>
      <c r="R213" s="105"/>
      <c r="S213" s="105"/>
      <c r="T213" s="105"/>
      <c r="U213" s="105"/>
      <c r="V213" s="106"/>
      <c r="W213" s="171"/>
    </row>
    <row r="214" spans="1:23" x14ac:dyDescent="0.45">
      <c r="A214" s="231"/>
      <c r="B214" s="236"/>
      <c r="C214" s="234"/>
      <c r="D214" s="199">
        <v>28</v>
      </c>
      <c r="E214" s="203" t="s">
        <v>239</v>
      </c>
      <c r="F214" s="27" t="s">
        <v>110</v>
      </c>
      <c r="G214" s="188"/>
      <c r="H214" s="185"/>
      <c r="I214" s="185"/>
      <c r="J214" s="185"/>
      <c r="K214" s="185"/>
      <c r="L214" s="105"/>
      <c r="M214" s="106"/>
      <c r="N214" s="67">
        <f t="shared" si="4"/>
        <v>0</v>
      </c>
      <c r="O214" s="67">
        <f t="shared" si="5"/>
        <v>0</v>
      </c>
      <c r="P214" s="104"/>
      <c r="Q214" s="105"/>
      <c r="R214" s="105"/>
      <c r="S214" s="105"/>
      <c r="T214" s="105"/>
      <c r="U214" s="105"/>
      <c r="V214" s="106"/>
      <c r="W214" s="171"/>
    </row>
    <row r="215" spans="1:23" x14ac:dyDescent="0.45">
      <c r="A215" s="231"/>
      <c r="B215" s="236"/>
      <c r="C215" s="234"/>
      <c r="D215" s="199"/>
      <c r="E215" s="202"/>
      <c r="F215" s="52" t="s">
        <v>111</v>
      </c>
      <c r="G215" s="104"/>
      <c r="H215" s="105"/>
      <c r="I215" s="105"/>
      <c r="J215" s="105"/>
      <c r="K215" s="105"/>
      <c r="L215" s="105"/>
      <c r="M215" s="106"/>
      <c r="N215" s="67">
        <f t="shared" si="4"/>
        <v>0</v>
      </c>
      <c r="O215" s="67">
        <f t="shared" si="5"/>
        <v>0</v>
      </c>
      <c r="P215" s="104"/>
      <c r="Q215" s="105"/>
      <c r="R215" s="105"/>
      <c r="S215" s="105"/>
      <c r="T215" s="105"/>
      <c r="U215" s="105"/>
      <c r="V215" s="106"/>
      <c r="W215" s="171"/>
    </row>
    <row r="216" spans="1:23" x14ac:dyDescent="0.45">
      <c r="A216" s="231"/>
      <c r="B216" s="236"/>
      <c r="C216" s="234"/>
      <c r="D216" s="199">
        <v>29</v>
      </c>
      <c r="E216" s="203" t="s">
        <v>239</v>
      </c>
      <c r="F216" s="27" t="s">
        <v>114</v>
      </c>
      <c r="G216" s="188"/>
      <c r="H216" s="185"/>
      <c r="I216" s="185"/>
      <c r="J216" s="185"/>
      <c r="K216" s="185"/>
      <c r="L216" s="105"/>
      <c r="M216" s="106"/>
      <c r="N216" s="67">
        <f t="shared" si="4"/>
        <v>0</v>
      </c>
      <c r="O216" s="67">
        <f t="shared" si="5"/>
        <v>0</v>
      </c>
      <c r="P216" s="104"/>
      <c r="Q216" s="105"/>
      <c r="R216" s="105"/>
      <c r="S216" s="105"/>
      <c r="T216" s="105"/>
      <c r="U216" s="105"/>
      <c r="V216" s="106"/>
      <c r="W216" s="171"/>
    </row>
    <row r="217" spans="1:23" ht="19" thickBot="1" x14ac:dyDescent="0.5">
      <c r="A217" s="231"/>
      <c r="B217" s="237"/>
      <c r="C217" s="235"/>
      <c r="D217" s="206"/>
      <c r="E217" s="205"/>
      <c r="F217" s="52" t="s">
        <v>115</v>
      </c>
      <c r="G217" s="104"/>
      <c r="H217" s="105"/>
      <c r="I217" s="105"/>
      <c r="J217" s="105"/>
      <c r="K217" s="105"/>
      <c r="L217" s="105"/>
      <c r="M217" s="106"/>
      <c r="N217" s="67">
        <f t="shared" si="4"/>
        <v>0</v>
      </c>
      <c r="O217" s="67">
        <f t="shared" si="5"/>
        <v>0</v>
      </c>
      <c r="P217" s="104"/>
      <c r="Q217" s="105"/>
      <c r="R217" s="105"/>
      <c r="S217" s="105"/>
      <c r="T217" s="105"/>
      <c r="U217" s="105"/>
      <c r="V217" s="106"/>
      <c r="W217" s="174"/>
    </row>
    <row r="218" spans="1:23" x14ac:dyDescent="0.45">
      <c r="A218" s="231"/>
      <c r="B218" s="234" t="s">
        <v>190</v>
      </c>
      <c r="C218" s="234"/>
      <c r="D218" s="198">
        <v>30</v>
      </c>
      <c r="E218" s="57" t="s">
        <v>239</v>
      </c>
      <c r="F218" s="96" t="s">
        <v>116</v>
      </c>
      <c r="G218" s="112"/>
      <c r="H218" s="113"/>
      <c r="I218" s="113"/>
      <c r="J218" s="113"/>
      <c r="K218" s="113"/>
      <c r="L218" s="113"/>
      <c r="M218" s="114"/>
      <c r="N218" s="67">
        <f t="shared" si="4"/>
        <v>0</v>
      </c>
      <c r="O218" s="67">
        <f t="shared" si="5"/>
        <v>0</v>
      </c>
      <c r="P218" s="112"/>
      <c r="Q218" s="113"/>
      <c r="R218" s="113"/>
      <c r="S218" s="113"/>
      <c r="T218" s="113"/>
      <c r="U218" s="113"/>
      <c r="V218" s="114"/>
      <c r="W218" s="175"/>
    </row>
    <row r="219" spans="1:23" x14ac:dyDescent="0.45">
      <c r="A219" s="231"/>
      <c r="B219" s="234"/>
      <c r="C219" s="234"/>
      <c r="D219" s="199"/>
      <c r="E219" s="201" t="s">
        <v>331</v>
      </c>
      <c r="F219" s="52" t="s">
        <v>414</v>
      </c>
      <c r="G219" s="119"/>
      <c r="H219" s="120"/>
      <c r="I219" s="120"/>
      <c r="J219" s="120"/>
      <c r="K219" s="120"/>
      <c r="L219" s="120"/>
      <c r="M219" s="121"/>
      <c r="N219" s="67">
        <f t="shared" si="4"/>
        <v>0</v>
      </c>
      <c r="O219" s="67">
        <f t="shared" si="5"/>
        <v>0</v>
      </c>
      <c r="P219" s="119"/>
      <c r="Q219" s="120"/>
      <c r="R219" s="120"/>
      <c r="S219" s="120"/>
      <c r="T219" s="120"/>
      <c r="U219" s="120"/>
      <c r="V219" s="121"/>
      <c r="W219" s="171"/>
    </row>
    <row r="220" spans="1:23" x14ac:dyDescent="0.45">
      <c r="A220" s="231"/>
      <c r="B220" s="234"/>
      <c r="C220" s="234"/>
      <c r="D220" s="199"/>
      <c r="E220" s="201"/>
      <c r="F220" s="52" t="s">
        <v>415</v>
      </c>
      <c r="G220" s="119"/>
      <c r="H220" s="120"/>
      <c r="I220" s="120"/>
      <c r="J220" s="120"/>
      <c r="K220" s="120"/>
      <c r="L220" s="120"/>
      <c r="M220" s="121"/>
      <c r="N220" s="67">
        <f t="shared" si="4"/>
        <v>0</v>
      </c>
      <c r="O220" s="67">
        <f t="shared" si="5"/>
        <v>0</v>
      </c>
      <c r="P220" s="119"/>
      <c r="Q220" s="120"/>
      <c r="R220" s="120"/>
      <c r="S220" s="120"/>
      <c r="T220" s="120"/>
      <c r="U220" s="120"/>
      <c r="V220" s="121"/>
      <c r="W220" s="171"/>
    </row>
    <row r="221" spans="1:23" x14ac:dyDescent="0.45">
      <c r="A221" s="231"/>
      <c r="B221" s="234"/>
      <c r="C221" s="234"/>
      <c r="D221" s="199"/>
      <c r="E221" s="201"/>
      <c r="F221" s="52" t="s">
        <v>416</v>
      </c>
      <c r="G221" s="104"/>
      <c r="H221" s="105"/>
      <c r="I221" s="105"/>
      <c r="J221" s="105"/>
      <c r="K221" s="105"/>
      <c r="L221" s="105"/>
      <c r="M221" s="106"/>
      <c r="N221" s="67">
        <f t="shared" si="4"/>
        <v>0</v>
      </c>
      <c r="O221" s="67">
        <f t="shared" si="5"/>
        <v>0</v>
      </c>
      <c r="P221" s="104"/>
      <c r="Q221" s="120"/>
      <c r="R221" s="105"/>
      <c r="S221" s="105"/>
      <c r="T221" s="105"/>
      <c r="U221" s="105"/>
      <c r="V221" s="106"/>
      <c r="W221" s="171"/>
    </row>
    <row r="222" spans="1:23" x14ac:dyDescent="0.45">
      <c r="A222" s="231"/>
      <c r="B222" s="234"/>
      <c r="C222" s="234"/>
      <c r="D222" s="199"/>
      <c r="E222" s="201"/>
      <c r="F222" s="52" t="s">
        <v>417</v>
      </c>
      <c r="G222" s="119"/>
      <c r="H222" s="120"/>
      <c r="I222" s="120"/>
      <c r="J222" s="120"/>
      <c r="K222" s="120"/>
      <c r="L222" s="120"/>
      <c r="M222" s="121"/>
      <c r="N222" s="67">
        <f t="shared" si="4"/>
        <v>0</v>
      </c>
      <c r="O222" s="67">
        <f t="shared" si="5"/>
        <v>0</v>
      </c>
      <c r="P222" s="119"/>
      <c r="Q222" s="120"/>
      <c r="R222" s="120"/>
      <c r="S222" s="120"/>
      <c r="T222" s="120"/>
      <c r="U222" s="120"/>
      <c r="V222" s="121"/>
      <c r="W222" s="171"/>
    </row>
    <row r="223" spans="1:23" x14ac:dyDescent="0.45">
      <c r="A223" s="231"/>
      <c r="B223" s="234"/>
      <c r="C223" s="234"/>
      <c r="D223" s="199"/>
      <c r="E223" s="202"/>
      <c r="F223" s="52" t="s">
        <v>418</v>
      </c>
      <c r="G223" s="119"/>
      <c r="H223" s="120"/>
      <c r="I223" s="120"/>
      <c r="J223" s="120"/>
      <c r="K223" s="120"/>
      <c r="L223" s="120"/>
      <c r="M223" s="121"/>
      <c r="N223" s="67">
        <f t="shared" si="4"/>
        <v>0</v>
      </c>
      <c r="O223" s="67">
        <f t="shared" si="5"/>
        <v>0</v>
      </c>
      <c r="P223" s="119"/>
      <c r="Q223" s="120"/>
      <c r="R223" s="120"/>
      <c r="S223" s="120"/>
      <c r="T223" s="120"/>
      <c r="U223" s="120"/>
      <c r="V223" s="121"/>
      <c r="W223" s="171"/>
    </row>
    <row r="224" spans="1:23" ht="37.5" thickBot="1" x14ac:dyDescent="0.5">
      <c r="A224" s="231"/>
      <c r="B224" s="234"/>
      <c r="C224" s="234"/>
      <c r="D224" s="58">
        <v>31</v>
      </c>
      <c r="E224" s="59" t="s">
        <v>239</v>
      </c>
      <c r="F224" s="28" t="s">
        <v>117</v>
      </c>
      <c r="G224" s="122"/>
      <c r="H224" s="123"/>
      <c r="I224" s="123"/>
      <c r="J224" s="123"/>
      <c r="K224" s="123"/>
      <c r="L224" s="123"/>
      <c r="M224" s="124"/>
      <c r="N224" s="67">
        <f t="shared" si="4"/>
        <v>0</v>
      </c>
      <c r="O224" s="67">
        <f t="shared" si="5"/>
        <v>0</v>
      </c>
      <c r="P224" s="122"/>
      <c r="Q224" s="123"/>
      <c r="R224" s="123"/>
      <c r="S224" s="123"/>
      <c r="T224" s="123"/>
      <c r="U224" s="123"/>
      <c r="V224" s="124"/>
      <c r="W224" s="172"/>
    </row>
    <row r="225" spans="1:23" ht="28.5" customHeight="1" x14ac:dyDescent="0.45">
      <c r="A225" s="231"/>
      <c r="B225" s="245" t="s">
        <v>191</v>
      </c>
      <c r="C225" s="233"/>
      <c r="D225" s="198">
        <v>32</v>
      </c>
      <c r="E225" s="200" t="s">
        <v>239</v>
      </c>
      <c r="F225" s="29" t="s">
        <v>118</v>
      </c>
      <c r="G225" s="189"/>
      <c r="H225" s="190"/>
      <c r="I225" s="190"/>
      <c r="J225" s="190"/>
      <c r="K225" s="190"/>
      <c r="L225" s="113"/>
      <c r="M225" s="114"/>
      <c r="N225" s="67">
        <f t="shared" si="4"/>
        <v>0</v>
      </c>
      <c r="O225" s="67">
        <f t="shared" si="5"/>
        <v>0</v>
      </c>
      <c r="P225" s="112"/>
      <c r="Q225" s="112"/>
      <c r="R225" s="112"/>
      <c r="S225" s="112"/>
      <c r="T225" s="112"/>
      <c r="U225" s="113"/>
      <c r="V225" s="114"/>
      <c r="W225" s="173"/>
    </row>
    <row r="226" spans="1:23" x14ac:dyDescent="0.45">
      <c r="A226" s="231"/>
      <c r="B226" s="236"/>
      <c r="C226" s="234"/>
      <c r="D226" s="199"/>
      <c r="E226" s="202"/>
      <c r="F226" s="52" t="s">
        <v>119</v>
      </c>
      <c r="G226" s="104"/>
      <c r="H226" s="105"/>
      <c r="I226" s="105"/>
      <c r="J226" s="105"/>
      <c r="K226" s="105"/>
      <c r="L226" s="105"/>
      <c r="M226" s="106"/>
      <c r="N226" s="67">
        <f t="shared" si="4"/>
        <v>0</v>
      </c>
      <c r="O226" s="67">
        <f t="shared" si="5"/>
        <v>0</v>
      </c>
      <c r="P226" s="104"/>
      <c r="Q226" s="105"/>
      <c r="R226" s="105"/>
      <c r="S226" s="105"/>
      <c r="T226" s="105"/>
      <c r="U226" s="105"/>
      <c r="V226" s="106"/>
      <c r="W226" s="171"/>
    </row>
    <row r="227" spans="1:23" x14ac:dyDescent="0.45">
      <c r="A227" s="231"/>
      <c r="B227" s="236"/>
      <c r="C227" s="234"/>
      <c r="D227" s="199">
        <v>33</v>
      </c>
      <c r="E227" s="203" t="s">
        <v>239</v>
      </c>
      <c r="F227" s="27" t="s">
        <v>120</v>
      </c>
      <c r="G227" s="104"/>
      <c r="H227" s="105"/>
      <c r="I227" s="105"/>
      <c r="J227" s="105"/>
      <c r="K227" s="105"/>
      <c r="L227" s="105"/>
      <c r="M227" s="106"/>
      <c r="N227" s="67">
        <f t="shared" si="4"/>
        <v>0</v>
      </c>
      <c r="O227" s="67">
        <f t="shared" si="5"/>
        <v>0</v>
      </c>
      <c r="P227" s="104"/>
      <c r="Q227" s="105"/>
      <c r="R227" s="105"/>
      <c r="S227" s="105"/>
      <c r="T227" s="105"/>
      <c r="U227" s="105"/>
      <c r="V227" s="106"/>
      <c r="W227" s="171"/>
    </row>
    <row r="228" spans="1:23" ht="28.5" customHeight="1" thickBot="1" x14ac:dyDescent="0.5">
      <c r="A228" s="231"/>
      <c r="B228" s="237"/>
      <c r="C228" s="235"/>
      <c r="D228" s="206"/>
      <c r="E228" s="205"/>
      <c r="F228" s="52" t="s">
        <v>121</v>
      </c>
      <c r="G228" s="116"/>
      <c r="H228" s="117"/>
      <c r="I228" s="117"/>
      <c r="J228" s="117"/>
      <c r="K228" s="117"/>
      <c r="L228" s="117"/>
      <c r="M228" s="118"/>
      <c r="N228" s="67">
        <f t="shared" si="4"/>
        <v>0</v>
      </c>
      <c r="O228" s="67">
        <f t="shared" si="5"/>
        <v>0</v>
      </c>
      <c r="P228" s="116"/>
      <c r="Q228" s="117"/>
      <c r="R228" s="117"/>
      <c r="S228" s="117"/>
      <c r="T228" s="117"/>
      <c r="U228" s="117"/>
      <c r="V228" s="118"/>
      <c r="W228" s="174"/>
    </row>
    <row r="229" spans="1:23" ht="18.75" customHeight="1" x14ac:dyDescent="0.45">
      <c r="A229" s="231"/>
      <c r="B229" s="236" t="s">
        <v>192</v>
      </c>
      <c r="C229" s="233"/>
      <c r="D229" s="198">
        <v>34</v>
      </c>
      <c r="E229" s="200" t="s">
        <v>239</v>
      </c>
      <c r="F229" s="29" t="s">
        <v>122</v>
      </c>
      <c r="G229" s="112"/>
      <c r="H229" s="113"/>
      <c r="I229" s="113"/>
      <c r="J229" s="113"/>
      <c r="K229" s="113"/>
      <c r="L229" s="113"/>
      <c r="M229" s="114"/>
      <c r="N229" s="67">
        <f t="shared" si="4"/>
        <v>0</v>
      </c>
      <c r="O229" s="67">
        <f t="shared" si="5"/>
        <v>0</v>
      </c>
      <c r="P229" s="112"/>
      <c r="Q229" s="113"/>
      <c r="R229" s="113"/>
      <c r="S229" s="113"/>
      <c r="T229" s="113"/>
      <c r="U229" s="113"/>
      <c r="V229" s="114"/>
      <c r="W229" s="175"/>
    </row>
    <row r="230" spans="1:23" ht="18.75" customHeight="1" x14ac:dyDescent="0.45">
      <c r="A230" s="231"/>
      <c r="B230" s="236"/>
      <c r="C230" s="234"/>
      <c r="D230" s="199"/>
      <c r="E230" s="201"/>
      <c r="F230" s="52" t="s">
        <v>123</v>
      </c>
      <c r="G230" s="104"/>
      <c r="H230" s="105"/>
      <c r="I230" s="105"/>
      <c r="J230" s="105"/>
      <c r="K230" s="105"/>
      <c r="L230" s="105"/>
      <c r="M230" s="106"/>
      <c r="N230" s="67">
        <f t="shared" si="4"/>
        <v>0</v>
      </c>
      <c r="O230" s="67">
        <f t="shared" si="5"/>
        <v>0</v>
      </c>
      <c r="P230" s="104"/>
      <c r="Q230" s="105"/>
      <c r="R230" s="105"/>
      <c r="S230" s="105"/>
      <c r="T230" s="105"/>
      <c r="U230" s="105"/>
      <c r="V230" s="106"/>
      <c r="W230" s="171"/>
    </row>
    <row r="231" spans="1:23" x14ac:dyDescent="0.45">
      <c r="A231" s="231"/>
      <c r="B231" s="236"/>
      <c r="C231" s="234"/>
      <c r="D231" s="199"/>
      <c r="E231" s="202"/>
      <c r="F231" s="52" t="s">
        <v>124</v>
      </c>
      <c r="G231" s="104"/>
      <c r="H231" s="105"/>
      <c r="I231" s="105"/>
      <c r="J231" s="105"/>
      <c r="K231" s="105"/>
      <c r="L231" s="105"/>
      <c r="M231" s="106"/>
      <c r="N231" s="67">
        <f t="shared" si="4"/>
        <v>0</v>
      </c>
      <c r="O231" s="67">
        <f t="shared" si="5"/>
        <v>0</v>
      </c>
      <c r="P231" s="104"/>
      <c r="Q231" s="105"/>
      <c r="R231" s="105"/>
      <c r="S231" s="105"/>
      <c r="T231" s="105"/>
      <c r="U231" s="105"/>
      <c r="V231" s="106"/>
      <c r="W231" s="171"/>
    </row>
    <row r="232" spans="1:23" x14ac:dyDescent="0.45">
      <c r="A232" s="231"/>
      <c r="B232" s="236"/>
      <c r="C232" s="234"/>
      <c r="D232" s="199" t="s">
        <v>405</v>
      </c>
      <c r="E232" s="203" t="s">
        <v>239</v>
      </c>
      <c r="F232" s="18" t="s">
        <v>125</v>
      </c>
      <c r="G232" s="104"/>
      <c r="H232" s="105"/>
      <c r="I232" s="105"/>
      <c r="J232" s="105"/>
      <c r="K232" s="105"/>
      <c r="L232" s="105"/>
      <c r="M232" s="106"/>
      <c r="N232" s="67">
        <f t="shared" si="4"/>
        <v>0</v>
      </c>
      <c r="O232" s="67">
        <f t="shared" si="5"/>
        <v>0</v>
      </c>
      <c r="P232" s="104"/>
      <c r="Q232" s="105"/>
      <c r="R232" s="105"/>
      <c r="S232" s="105"/>
      <c r="T232" s="105"/>
      <c r="U232" s="105"/>
      <c r="V232" s="106"/>
      <c r="W232" s="171"/>
    </row>
    <row r="233" spans="1:23" x14ac:dyDescent="0.45">
      <c r="A233" s="231"/>
      <c r="B233" s="236"/>
      <c r="C233" s="234"/>
      <c r="D233" s="199"/>
      <c r="E233" s="201"/>
      <c r="F233" s="52" t="s">
        <v>126</v>
      </c>
      <c r="G233" s="104"/>
      <c r="H233" s="105"/>
      <c r="I233" s="105"/>
      <c r="J233" s="105"/>
      <c r="K233" s="105"/>
      <c r="L233" s="105"/>
      <c r="M233" s="106"/>
      <c r="N233" s="67">
        <f t="shared" si="4"/>
        <v>0</v>
      </c>
      <c r="O233" s="67">
        <f t="shared" si="5"/>
        <v>0</v>
      </c>
      <c r="P233" s="104"/>
      <c r="Q233" s="105"/>
      <c r="R233" s="105"/>
      <c r="S233" s="105"/>
      <c r="T233" s="105"/>
      <c r="U233" s="105"/>
      <c r="V233" s="106"/>
      <c r="W233" s="171"/>
    </row>
    <row r="234" spans="1:23" x14ac:dyDescent="0.45">
      <c r="A234" s="231"/>
      <c r="B234" s="236"/>
      <c r="C234" s="234"/>
      <c r="D234" s="199"/>
      <c r="E234" s="202"/>
      <c r="F234" s="52" t="s">
        <v>127</v>
      </c>
      <c r="G234" s="104"/>
      <c r="H234" s="105"/>
      <c r="I234" s="105"/>
      <c r="J234" s="105"/>
      <c r="K234" s="105"/>
      <c r="L234" s="105"/>
      <c r="M234" s="106"/>
      <c r="N234" s="67">
        <f t="shared" si="4"/>
        <v>0</v>
      </c>
      <c r="O234" s="67">
        <f t="shared" si="5"/>
        <v>0</v>
      </c>
      <c r="P234" s="104"/>
      <c r="Q234" s="105"/>
      <c r="R234" s="105"/>
      <c r="S234" s="105"/>
      <c r="T234" s="105"/>
      <c r="U234" s="105"/>
      <c r="V234" s="106"/>
      <c r="W234" s="171"/>
    </row>
    <row r="235" spans="1:23" x14ac:dyDescent="0.45">
      <c r="A235" s="231"/>
      <c r="B235" s="236"/>
      <c r="C235" s="234"/>
      <c r="D235" s="199" t="s">
        <v>406</v>
      </c>
      <c r="E235" s="203" t="s">
        <v>239</v>
      </c>
      <c r="F235" s="32" t="s">
        <v>128</v>
      </c>
      <c r="G235" s="104"/>
      <c r="H235" s="105"/>
      <c r="I235" s="105"/>
      <c r="J235" s="105"/>
      <c r="K235" s="105"/>
      <c r="L235" s="105"/>
      <c r="M235" s="106"/>
      <c r="N235" s="67">
        <f t="shared" si="4"/>
        <v>0</v>
      </c>
      <c r="O235" s="67">
        <f t="shared" si="5"/>
        <v>0</v>
      </c>
      <c r="P235" s="104"/>
      <c r="Q235" s="105"/>
      <c r="R235" s="105"/>
      <c r="S235" s="105"/>
      <c r="T235" s="105"/>
      <c r="U235" s="105"/>
      <c r="V235" s="106"/>
      <c r="W235" s="171"/>
    </row>
    <row r="236" spans="1:23" x14ac:dyDescent="0.45">
      <c r="A236" s="231"/>
      <c r="B236" s="236"/>
      <c r="C236" s="234"/>
      <c r="D236" s="199"/>
      <c r="E236" s="201"/>
      <c r="F236" s="52" t="s">
        <v>129</v>
      </c>
      <c r="G236" s="104"/>
      <c r="H236" s="105"/>
      <c r="I236" s="105"/>
      <c r="J236" s="105"/>
      <c r="K236" s="105"/>
      <c r="L236" s="105"/>
      <c r="M236" s="106"/>
      <c r="N236" s="67">
        <f t="shared" si="4"/>
        <v>0</v>
      </c>
      <c r="O236" s="67">
        <f t="shared" si="5"/>
        <v>0</v>
      </c>
      <c r="P236" s="104"/>
      <c r="Q236" s="105"/>
      <c r="R236" s="105"/>
      <c r="S236" s="105"/>
      <c r="T236" s="105"/>
      <c r="U236" s="105"/>
      <c r="V236" s="106"/>
      <c r="W236" s="171"/>
    </row>
    <row r="237" spans="1:23" ht="19" thickBot="1" x14ac:dyDescent="0.5">
      <c r="A237" s="232"/>
      <c r="B237" s="237"/>
      <c r="C237" s="235"/>
      <c r="D237" s="204"/>
      <c r="E237" s="205"/>
      <c r="F237" s="53" t="s">
        <v>130</v>
      </c>
      <c r="G237" s="125"/>
      <c r="H237" s="126"/>
      <c r="I237" s="126"/>
      <c r="J237" s="126"/>
      <c r="K237" s="126"/>
      <c r="L237" s="126"/>
      <c r="M237" s="127"/>
      <c r="N237" s="68">
        <f>IF(AND(G237=""),0,IF(OR(G237=""),2,3))</f>
        <v>0</v>
      </c>
      <c r="O237" s="68">
        <f>IF(AND(M237=""),0,IF(OR(M237=""),1,2))</f>
        <v>0</v>
      </c>
      <c r="P237" s="125"/>
      <c r="Q237" s="126"/>
      <c r="R237" s="126"/>
      <c r="S237" s="126"/>
      <c r="T237" s="126"/>
      <c r="U237" s="126"/>
      <c r="V237" s="127"/>
      <c r="W237" s="176"/>
    </row>
  </sheetData>
  <mergeCells count="110">
    <mergeCell ref="B2:C2"/>
    <mergeCell ref="G2:M2"/>
    <mergeCell ref="E4:E7"/>
    <mergeCell ref="D4:D7"/>
    <mergeCell ref="A4:A237"/>
    <mergeCell ref="C229:C237"/>
    <mergeCell ref="B229:B237"/>
    <mergeCell ref="P2:V2"/>
    <mergeCell ref="C124:C208"/>
    <mergeCell ref="B4:B87"/>
    <mergeCell ref="C4:C87"/>
    <mergeCell ref="C88:C123"/>
    <mergeCell ref="B88:B123"/>
    <mergeCell ref="C209:C217"/>
    <mergeCell ref="C218:C224"/>
    <mergeCell ref="C225:C228"/>
    <mergeCell ref="B218:B224"/>
    <mergeCell ref="B124:B208"/>
    <mergeCell ref="B209:B217"/>
    <mergeCell ref="B225:B228"/>
    <mergeCell ref="E55:E56"/>
    <mergeCell ref="D54:D56"/>
    <mergeCell ref="D39:D53"/>
    <mergeCell ref="E39:E41"/>
    <mergeCell ref="E42:E47"/>
    <mergeCell ref="E48:E53"/>
    <mergeCell ref="E11:E16"/>
    <mergeCell ref="E17:E31"/>
    <mergeCell ref="E32:E37"/>
    <mergeCell ref="D8:D37"/>
    <mergeCell ref="E8:E10"/>
    <mergeCell ref="D63:D65"/>
    <mergeCell ref="D71:D75"/>
    <mergeCell ref="D57:D59"/>
    <mergeCell ref="D60:D62"/>
    <mergeCell ref="D66:D70"/>
    <mergeCell ref="E58:E59"/>
    <mergeCell ref="E61:E62"/>
    <mergeCell ref="E64:E65"/>
    <mergeCell ref="E67:E68"/>
    <mergeCell ref="E89:E96"/>
    <mergeCell ref="D88:D96"/>
    <mergeCell ref="D97:D105"/>
    <mergeCell ref="D106:D114"/>
    <mergeCell ref="E69:E70"/>
    <mergeCell ref="E72:E73"/>
    <mergeCell ref="E74:E75"/>
    <mergeCell ref="E76:E77"/>
    <mergeCell ref="E78:E83"/>
    <mergeCell ref="E84:E87"/>
    <mergeCell ref="D76:D87"/>
    <mergeCell ref="E124:E126"/>
    <mergeCell ref="D124:D152"/>
    <mergeCell ref="E127:E130"/>
    <mergeCell ref="E131:E138"/>
    <mergeCell ref="E139:E152"/>
    <mergeCell ref="D115:D123"/>
    <mergeCell ref="E98:E101"/>
    <mergeCell ref="E102:E105"/>
    <mergeCell ref="E107:E110"/>
    <mergeCell ref="E111:E114"/>
    <mergeCell ref="E116:E119"/>
    <mergeCell ref="E120:E123"/>
    <mergeCell ref="D172:D180"/>
    <mergeCell ref="E173:E176"/>
    <mergeCell ref="E177:E180"/>
    <mergeCell ref="D181:D183"/>
    <mergeCell ref="E182:E183"/>
    <mergeCell ref="D153:D166"/>
    <mergeCell ref="E154:E155"/>
    <mergeCell ref="E156:E159"/>
    <mergeCell ref="E160:E166"/>
    <mergeCell ref="D167:D171"/>
    <mergeCell ref="E168:E169"/>
    <mergeCell ref="E170:E171"/>
    <mergeCell ref="D197:D201"/>
    <mergeCell ref="E198:E199"/>
    <mergeCell ref="E200:E201"/>
    <mergeCell ref="D202:D203"/>
    <mergeCell ref="E202:E203"/>
    <mergeCell ref="D184:D191"/>
    <mergeCell ref="E185:E186"/>
    <mergeCell ref="E187:E188"/>
    <mergeCell ref="E189:E191"/>
    <mergeCell ref="D192:D196"/>
    <mergeCell ref="E193:E194"/>
    <mergeCell ref="E195:E196"/>
    <mergeCell ref="D212:D213"/>
    <mergeCell ref="E212:E213"/>
    <mergeCell ref="D214:D215"/>
    <mergeCell ref="E214:E215"/>
    <mergeCell ref="D216:D217"/>
    <mergeCell ref="E216:E217"/>
    <mergeCell ref="D204:D208"/>
    <mergeCell ref="E205:E206"/>
    <mergeCell ref="E207:E208"/>
    <mergeCell ref="D209:D211"/>
    <mergeCell ref="E209:E211"/>
    <mergeCell ref="D229:D231"/>
    <mergeCell ref="E229:E231"/>
    <mergeCell ref="D232:D234"/>
    <mergeCell ref="E232:E234"/>
    <mergeCell ref="D235:D237"/>
    <mergeCell ref="E235:E237"/>
    <mergeCell ref="D218:D223"/>
    <mergeCell ref="E219:E223"/>
    <mergeCell ref="D225:D226"/>
    <mergeCell ref="E225:E226"/>
    <mergeCell ref="D227:D228"/>
    <mergeCell ref="E227:E228"/>
  </mergeCells>
  <conditionalFormatting sqref="N3:O3">
    <cfRule type="iconSet" priority="1">
      <iconSet iconSet="5Quarters" showValue="0">
        <cfvo type="percent" val="0"/>
        <cfvo type="num" val="25"/>
        <cfvo type="num" val="50"/>
        <cfvo type="num" val="75"/>
        <cfvo type="num" val="98"/>
      </iconSet>
    </cfRule>
  </conditionalFormatting>
  <conditionalFormatting sqref="N4:O237">
    <cfRule type="iconSet" priority="5">
      <iconSet iconSet="3Symbols" showValue="0">
        <cfvo type="percent" val="0"/>
        <cfvo type="num" val="1"/>
        <cfvo type="num" val="2"/>
      </iconSet>
    </cfRule>
  </conditionalFormatting>
  <hyperlinks>
    <hyperlink ref="A1" location="'Agenda 2063'!A1" display="Back to Agenda 2063" xr:uid="{00000000-0004-0000-0100-000000000000}"/>
  </hyperlinks>
  <pageMargins left="0.7" right="0.7" top="0.75" bottom="0.75" header="0.3" footer="0.3"/>
  <pageSetup paperSize="9" orientation="portrait" verticalDpi="4294967293" r:id="rId1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70C0"/>
  </sheetPr>
  <dimension ref="A1:W21"/>
  <sheetViews>
    <sheetView zoomScale="80" zoomScaleNormal="80" workbookViewId="0">
      <pane xSplit="1" ySplit="3" topLeftCell="L4" activePane="bottomRight" state="frozen"/>
      <selection pane="topRight" activeCell="B1" sqref="B1"/>
      <selection pane="bottomLeft" activeCell="A4" sqref="A4"/>
      <selection pane="bottomRight" activeCell="P4" sqref="P4:W21"/>
    </sheetView>
  </sheetViews>
  <sheetFormatPr baseColWidth="10" defaultColWidth="35" defaultRowHeight="18.5" x14ac:dyDescent="0.45"/>
  <cols>
    <col min="1" max="1" width="35.1796875" style="1" customWidth="1"/>
    <col min="2" max="2" width="44.81640625" style="1" customWidth="1"/>
    <col min="3" max="4" width="12.453125" style="1" customWidth="1"/>
    <col min="5" max="5" width="18.81640625" style="1" customWidth="1"/>
    <col min="6" max="6" width="115" style="2" customWidth="1"/>
    <col min="7" max="13" width="13.1796875" style="1" customWidth="1"/>
    <col min="14" max="15" width="4" style="3" customWidth="1"/>
    <col min="16" max="22" width="15.1796875" style="1" customWidth="1"/>
    <col min="23" max="23" width="60.453125" style="1" customWidth="1"/>
    <col min="24" max="16384" width="35" style="1"/>
  </cols>
  <sheetData>
    <row r="1" spans="1:23" x14ac:dyDescent="0.45">
      <c r="A1" s="6" t="s">
        <v>184</v>
      </c>
      <c r="C1"/>
      <c r="D1"/>
      <c r="E1"/>
    </row>
    <row r="2" spans="1:23" ht="25.5" customHeight="1" x14ac:dyDescent="0.45">
      <c r="A2" s="36" t="s">
        <v>0</v>
      </c>
      <c r="B2" s="227" t="s">
        <v>183</v>
      </c>
      <c r="C2" s="227"/>
      <c r="D2" s="36"/>
      <c r="E2" s="36"/>
      <c r="F2" s="36" t="s">
        <v>211</v>
      </c>
      <c r="G2" s="227" t="s">
        <v>212</v>
      </c>
      <c r="H2" s="227"/>
      <c r="I2" s="227"/>
      <c r="J2" s="227"/>
      <c r="K2" s="227"/>
      <c r="L2" s="227"/>
      <c r="M2" s="227"/>
      <c r="N2" s="37" t="s">
        <v>2</v>
      </c>
      <c r="O2" s="37" t="s">
        <v>209</v>
      </c>
      <c r="P2" s="227" t="s">
        <v>193</v>
      </c>
      <c r="Q2" s="227"/>
      <c r="R2" s="227"/>
      <c r="S2" s="227"/>
      <c r="T2" s="227"/>
      <c r="U2" s="227"/>
      <c r="V2" s="227"/>
      <c r="W2" s="36" t="s">
        <v>213</v>
      </c>
    </row>
    <row r="3" spans="1:23" s="43" customFormat="1" ht="43.5" customHeight="1" thickBot="1" x14ac:dyDescent="0.5">
      <c r="A3" s="38"/>
      <c r="B3" s="39"/>
      <c r="C3" s="39"/>
      <c r="D3" s="80" t="s">
        <v>210</v>
      </c>
      <c r="E3" s="81" t="s">
        <v>404</v>
      </c>
      <c r="F3" s="40" t="s">
        <v>207</v>
      </c>
      <c r="G3" s="40">
        <v>2013</v>
      </c>
      <c r="H3" s="40">
        <v>2014</v>
      </c>
      <c r="I3" s="40">
        <v>2015</v>
      </c>
      <c r="J3" s="40">
        <v>2016</v>
      </c>
      <c r="K3" s="40">
        <v>2017</v>
      </c>
      <c r="L3" s="40">
        <v>2018</v>
      </c>
      <c r="M3" s="40">
        <v>2019</v>
      </c>
      <c r="N3" s="41">
        <f>SUM(N4:N21)</f>
        <v>15</v>
      </c>
      <c r="O3" s="41">
        <f>SUM(O4:O21)</f>
        <v>0</v>
      </c>
      <c r="P3" s="40">
        <v>2013</v>
      </c>
      <c r="Q3" s="40">
        <v>2014</v>
      </c>
      <c r="R3" s="40">
        <v>2015</v>
      </c>
      <c r="S3" s="40">
        <v>2016</v>
      </c>
      <c r="T3" s="40">
        <v>2017</v>
      </c>
      <c r="U3" s="40">
        <v>2018</v>
      </c>
      <c r="V3" s="40">
        <v>2019</v>
      </c>
      <c r="W3" s="70" t="s">
        <v>214</v>
      </c>
    </row>
    <row r="4" spans="1:23" ht="27" customHeight="1" thickTop="1" x14ac:dyDescent="0.45">
      <c r="A4" s="251" t="s">
        <v>335</v>
      </c>
      <c r="B4" s="261" t="s">
        <v>334</v>
      </c>
      <c r="C4" s="234"/>
      <c r="D4" s="253">
        <v>43</v>
      </c>
      <c r="E4" s="66" t="s">
        <v>239</v>
      </c>
      <c r="F4" s="25" t="s">
        <v>338</v>
      </c>
      <c r="G4" s="104">
        <v>338</v>
      </c>
      <c r="H4" s="105"/>
      <c r="I4" s="105"/>
      <c r="J4" s="105"/>
      <c r="K4" s="105"/>
      <c r="L4" s="105"/>
      <c r="M4" s="105"/>
      <c r="N4" s="67">
        <f t="shared" ref="N4:N21" si="0">IF(AND(G4=""),0,IF(OR(G4=""),2,3))</f>
        <v>3</v>
      </c>
      <c r="O4" s="67">
        <f t="shared" ref="O4:O21" si="1">IF(AND(M4=""),0,IF(OR(M4=""),1,2))</f>
        <v>0</v>
      </c>
      <c r="P4" s="100"/>
      <c r="Q4" s="100"/>
      <c r="R4" s="100"/>
      <c r="S4" s="100"/>
      <c r="T4" s="100"/>
      <c r="U4" s="101"/>
      <c r="V4" s="102"/>
      <c r="W4" s="166"/>
    </row>
    <row r="5" spans="1:23" ht="27" customHeight="1" x14ac:dyDescent="0.45">
      <c r="A5" s="244"/>
      <c r="B5" s="234"/>
      <c r="C5" s="234"/>
      <c r="D5" s="254"/>
      <c r="E5" s="256" t="s">
        <v>349</v>
      </c>
      <c r="F5" s="45" t="s">
        <v>341</v>
      </c>
      <c r="G5" s="104">
        <v>211</v>
      </c>
      <c r="H5" s="105"/>
      <c r="I5" s="105"/>
      <c r="J5" s="105"/>
      <c r="K5" s="105"/>
      <c r="L5" s="105"/>
      <c r="M5" s="105"/>
      <c r="N5" s="67">
        <f t="shared" si="0"/>
        <v>3</v>
      </c>
      <c r="O5" s="67">
        <f t="shared" si="1"/>
        <v>0</v>
      </c>
      <c r="P5" s="100"/>
      <c r="Q5" s="101"/>
      <c r="R5" s="101"/>
      <c r="S5" s="101"/>
      <c r="T5" s="101"/>
      <c r="U5" s="101"/>
      <c r="V5" s="102"/>
      <c r="W5" s="166"/>
    </row>
    <row r="6" spans="1:23" ht="27" customHeight="1" x14ac:dyDescent="0.45">
      <c r="A6" s="244"/>
      <c r="B6" s="234"/>
      <c r="C6" s="234"/>
      <c r="D6" s="254"/>
      <c r="E6" s="254"/>
      <c r="F6" s="45" t="s">
        <v>340</v>
      </c>
      <c r="G6" s="104">
        <v>127</v>
      </c>
      <c r="H6" s="105"/>
      <c r="I6" s="105"/>
      <c r="J6" s="105"/>
      <c r="K6" s="105"/>
      <c r="L6" s="105"/>
      <c r="M6" s="105"/>
      <c r="N6" s="67">
        <f t="shared" si="0"/>
        <v>3</v>
      </c>
      <c r="O6" s="67">
        <f t="shared" si="1"/>
        <v>0</v>
      </c>
      <c r="P6" s="100"/>
      <c r="Q6" s="101"/>
      <c r="R6" s="101"/>
      <c r="S6" s="101"/>
      <c r="T6" s="101"/>
      <c r="U6" s="101"/>
      <c r="V6" s="102"/>
      <c r="W6" s="166"/>
    </row>
    <row r="7" spans="1:23" ht="27" customHeight="1" x14ac:dyDescent="0.45">
      <c r="A7" s="244"/>
      <c r="B7" s="234"/>
      <c r="C7" s="234"/>
      <c r="D7" s="254"/>
      <c r="E7" s="254"/>
      <c r="F7" s="45" t="s">
        <v>339</v>
      </c>
      <c r="G7" s="104"/>
      <c r="H7" s="105"/>
      <c r="I7" s="105"/>
      <c r="J7" s="105"/>
      <c r="K7" s="105"/>
      <c r="L7" s="105"/>
      <c r="M7" s="105"/>
      <c r="N7" s="67">
        <f t="shared" si="0"/>
        <v>0</v>
      </c>
      <c r="O7" s="67">
        <f t="shared" si="1"/>
        <v>0</v>
      </c>
      <c r="P7" s="100"/>
      <c r="Q7" s="101"/>
      <c r="R7" s="101"/>
      <c r="S7" s="101"/>
      <c r="T7" s="101"/>
      <c r="U7" s="101"/>
      <c r="V7" s="102"/>
      <c r="W7" s="166"/>
    </row>
    <row r="8" spans="1:23" ht="27" customHeight="1" x14ac:dyDescent="0.45">
      <c r="A8" s="244"/>
      <c r="B8" s="234"/>
      <c r="C8" s="234"/>
      <c r="D8" s="255"/>
      <c r="E8" s="255"/>
      <c r="F8" s="45" t="s">
        <v>342</v>
      </c>
      <c r="G8" s="104"/>
      <c r="H8" s="105"/>
      <c r="I8" s="105"/>
      <c r="J8" s="105"/>
      <c r="K8" s="105"/>
      <c r="L8" s="105"/>
      <c r="M8" s="105"/>
      <c r="N8" s="67">
        <f t="shared" si="0"/>
        <v>0</v>
      </c>
      <c r="O8" s="67">
        <f t="shared" si="1"/>
        <v>0</v>
      </c>
      <c r="P8" s="100"/>
      <c r="Q8" s="101"/>
      <c r="R8" s="101"/>
      <c r="S8" s="101"/>
      <c r="T8" s="101"/>
      <c r="U8" s="101"/>
      <c r="V8" s="102"/>
      <c r="W8" s="166"/>
    </row>
    <row r="9" spans="1:23" ht="27" customHeight="1" x14ac:dyDescent="0.45">
      <c r="A9" s="244"/>
      <c r="B9" s="234"/>
      <c r="C9" s="234"/>
      <c r="D9" s="257">
        <v>44</v>
      </c>
      <c r="E9" s="256" t="s">
        <v>239</v>
      </c>
      <c r="F9" s="25" t="s">
        <v>131</v>
      </c>
      <c r="G9" s="104"/>
      <c r="H9" s="105"/>
      <c r="I9" s="105"/>
      <c r="J9" s="105"/>
      <c r="K9" s="105"/>
      <c r="L9" s="105"/>
      <c r="M9" s="105"/>
      <c r="N9" s="67">
        <f t="shared" si="0"/>
        <v>0</v>
      </c>
      <c r="O9" s="67">
        <f t="shared" si="1"/>
        <v>0</v>
      </c>
      <c r="P9" s="100"/>
      <c r="Q9" s="101"/>
      <c r="R9" s="101"/>
      <c r="S9" s="101"/>
      <c r="T9" s="101"/>
      <c r="U9" s="101"/>
      <c r="V9" s="102"/>
      <c r="W9" s="166"/>
    </row>
    <row r="10" spans="1:23" ht="27" customHeight="1" x14ac:dyDescent="0.45">
      <c r="A10" s="244"/>
      <c r="B10" s="234"/>
      <c r="C10" s="234"/>
      <c r="D10" s="258"/>
      <c r="E10" s="254"/>
      <c r="F10" s="24" t="s">
        <v>132</v>
      </c>
      <c r="G10" s="104"/>
      <c r="H10" s="105"/>
      <c r="I10" s="105"/>
      <c r="J10" s="105"/>
      <c r="K10" s="105"/>
      <c r="L10" s="184"/>
      <c r="M10" s="105"/>
      <c r="N10" s="67">
        <f t="shared" si="0"/>
        <v>0</v>
      </c>
      <c r="O10" s="67">
        <f t="shared" si="1"/>
        <v>0</v>
      </c>
      <c r="P10" s="100"/>
      <c r="Q10" s="101"/>
      <c r="R10" s="101"/>
      <c r="S10" s="101"/>
      <c r="T10" s="101"/>
      <c r="U10" s="101"/>
      <c r="V10" s="102"/>
      <c r="W10" s="166"/>
    </row>
    <row r="11" spans="1:23" ht="27" customHeight="1" x14ac:dyDescent="0.45">
      <c r="A11" s="244"/>
      <c r="B11" s="234"/>
      <c r="C11" s="234"/>
      <c r="D11" s="258"/>
      <c r="E11" s="255"/>
      <c r="F11" s="24" t="s">
        <v>133</v>
      </c>
      <c r="G11" s="104"/>
      <c r="H11" s="105"/>
      <c r="I11" s="105"/>
      <c r="J11" s="105"/>
      <c r="K11" s="105"/>
      <c r="L11" s="105"/>
      <c r="M11" s="105"/>
      <c r="N11" s="67">
        <f t="shared" si="0"/>
        <v>0</v>
      </c>
      <c r="O11" s="67">
        <f t="shared" si="1"/>
        <v>0</v>
      </c>
      <c r="P11" s="100"/>
      <c r="Q11" s="101"/>
      <c r="R11" s="101"/>
      <c r="S11" s="101"/>
      <c r="T11" s="101"/>
      <c r="U11" s="101"/>
      <c r="V11" s="102"/>
      <c r="W11" s="166"/>
    </row>
    <row r="12" spans="1:23" ht="27" customHeight="1" x14ac:dyDescent="0.45">
      <c r="A12" s="244"/>
      <c r="B12" s="234"/>
      <c r="C12" s="234"/>
      <c r="D12" s="258"/>
      <c r="E12" s="256" t="s">
        <v>241</v>
      </c>
      <c r="F12" s="45" t="s">
        <v>344</v>
      </c>
      <c r="G12" s="104"/>
      <c r="H12" s="105"/>
      <c r="I12" s="105"/>
      <c r="J12" s="105"/>
      <c r="K12" s="105"/>
      <c r="L12" s="184"/>
      <c r="M12" s="105"/>
      <c r="N12" s="67">
        <f t="shared" si="0"/>
        <v>0</v>
      </c>
      <c r="O12" s="67">
        <f t="shared" si="1"/>
        <v>0</v>
      </c>
      <c r="P12" s="100"/>
      <c r="Q12" s="101"/>
      <c r="R12" s="101"/>
      <c r="S12" s="101"/>
      <c r="T12" s="101"/>
      <c r="U12" s="101"/>
      <c r="V12" s="102"/>
      <c r="W12" s="166"/>
    </row>
    <row r="13" spans="1:23" ht="27" customHeight="1" x14ac:dyDescent="0.45">
      <c r="A13" s="244"/>
      <c r="B13" s="234"/>
      <c r="C13" s="234"/>
      <c r="D13" s="258"/>
      <c r="E13" s="254"/>
      <c r="F13" s="45" t="s">
        <v>345</v>
      </c>
      <c r="G13" s="104"/>
      <c r="H13" s="105"/>
      <c r="I13" s="105"/>
      <c r="J13" s="105"/>
      <c r="K13" s="105"/>
      <c r="L13" s="105"/>
      <c r="M13" s="105"/>
      <c r="N13" s="67">
        <f t="shared" si="0"/>
        <v>0</v>
      </c>
      <c r="O13" s="67">
        <f t="shared" si="1"/>
        <v>0</v>
      </c>
      <c r="P13" s="100"/>
      <c r="Q13" s="101"/>
      <c r="R13" s="101"/>
      <c r="S13" s="101"/>
      <c r="T13" s="101"/>
      <c r="U13" s="101"/>
      <c r="V13" s="102"/>
      <c r="W13" s="166"/>
    </row>
    <row r="14" spans="1:23" ht="27" customHeight="1" x14ac:dyDescent="0.45">
      <c r="A14" s="244"/>
      <c r="B14" s="234"/>
      <c r="C14" s="234"/>
      <c r="D14" s="258"/>
      <c r="E14" s="254"/>
      <c r="F14" s="45" t="s">
        <v>343</v>
      </c>
      <c r="G14" s="104"/>
      <c r="H14" s="105"/>
      <c r="I14" s="105"/>
      <c r="J14" s="105"/>
      <c r="K14" s="105"/>
      <c r="L14" s="184"/>
      <c r="M14" s="105"/>
      <c r="N14" s="67">
        <f t="shared" si="0"/>
        <v>0</v>
      </c>
      <c r="O14" s="67">
        <f t="shared" si="1"/>
        <v>0</v>
      </c>
      <c r="P14" s="100"/>
      <c r="Q14" s="101"/>
      <c r="R14" s="101"/>
      <c r="S14" s="101"/>
      <c r="T14" s="101"/>
      <c r="U14" s="101"/>
      <c r="V14" s="102"/>
      <c r="W14" s="166"/>
    </row>
    <row r="15" spans="1:23" ht="27" customHeight="1" x14ac:dyDescent="0.45">
      <c r="A15" s="244"/>
      <c r="B15" s="234"/>
      <c r="C15" s="234"/>
      <c r="D15" s="258"/>
      <c r="E15" s="255"/>
      <c r="F15" s="45" t="s">
        <v>336</v>
      </c>
      <c r="G15" s="104"/>
      <c r="H15" s="105"/>
      <c r="I15" s="105"/>
      <c r="J15" s="105"/>
      <c r="K15" s="105"/>
      <c r="L15" s="105"/>
      <c r="M15" s="105"/>
      <c r="N15" s="67">
        <f t="shared" si="0"/>
        <v>0</v>
      </c>
      <c r="O15" s="67">
        <f t="shared" si="1"/>
        <v>0</v>
      </c>
      <c r="P15" s="100"/>
      <c r="Q15" s="101"/>
      <c r="R15" s="101"/>
      <c r="S15" s="101"/>
      <c r="T15" s="101"/>
      <c r="U15" s="101"/>
      <c r="V15" s="102"/>
      <c r="W15" s="166"/>
    </row>
    <row r="16" spans="1:23" ht="27" customHeight="1" x14ac:dyDescent="0.45">
      <c r="A16" s="244"/>
      <c r="B16" s="234"/>
      <c r="C16" s="234"/>
      <c r="D16" s="258"/>
      <c r="E16" s="256" t="s">
        <v>240</v>
      </c>
      <c r="F16" s="45" t="s">
        <v>346</v>
      </c>
      <c r="G16" s="104"/>
      <c r="H16" s="105"/>
      <c r="I16" s="105"/>
      <c r="J16" s="105"/>
      <c r="K16" s="105"/>
      <c r="L16" s="184"/>
      <c r="M16" s="105"/>
      <c r="N16" s="67">
        <f t="shared" si="0"/>
        <v>0</v>
      </c>
      <c r="O16" s="67">
        <f t="shared" si="1"/>
        <v>0</v>
      </c>
      <c r="P16" s="100"/>
      <c r="Q16" s="101"/>
      <c r="R16" s="101"/>
      <c r="S16" s="101"/>
      <c r="T16" s="101"/>
      <c r="U16" s="101"/>
      <c r="V16" s="102"/>
      <c r="W16" s="166"/>
    </row>
    <row r="17" spans="1:23" ht="27" customHeight="1" x14ac:dyDescent="0.45">
      <c r="A17" s="244"/>
      <c r="B17" s="234"/>
      <c r="C17" s="234"/>
      <c r="D17" s="258"/>
      <c r="E17" s="254"/>
      <c r="F17" s="45" t="s">
        <v>337</v>
      </c>
      <c r="G17" s="104"/>
      <c r="H17" s="105"/>
      <c r="I17" s="105"/>
      <c r="J17" s="105"/>
      <c r="K17" s="105"/>
      <c r="L17" s="105"/>
      <c r="M17" s="105"/>
      <c r="N17" s="67">
        <f t="shared" si="0"/>
        <v>0</v>
      </c>
      <c r="O17" s="67">
        <f t="shared" si="1"/>
        <v>0</v>
      </c>
      <c r="P17" s="100"/>
      <c r="Q17" s="101"/>
      <c r="R17" s="101"/>
      <c r="S17" s="101"/>
      <c r="T17" s="101"/>
      <c r="U17" s="101"/>
      <c r="V17" s="102"/>
      <c r="W17" s="166"/>
    </row>
    <row r="18" spans="1:23" ht="27" customHeight="1" x14ac:dyDescent="0.45">
      <c r="A18" s="244"/>
      <c r="B18" s="234"/>
      <c r="C18" s="234"/>
      <c r="D18" s="258"/>
      <c r="E18" s="254"/>
      <c r="F18" s="45" t="s">
        <v>347</v>
      </c>
      <c r="G18" s="104"/>
      <c r="H18" s="105"/>
      <c r="I18" s="105"/>
      <c r="J18" s="105"/>
      <c r="K18" s="105"/>
      <c r="L18" s="184"/>
      <c r="M18" s="105"/>
      <c r="N18" s="67">
        <f t="shared" si="0"/>
        <v>0</v>
      </c>
      <c r="O18" s="67">
        <f t="shared" si="1"/>
        <v>0</v>
      </c>
      <c r="P18" s="100"/>
      <c r="Q18" s="101"/>
      <c r="R18" s="101"/>
      <c r="S18" s="101"/>
      <c r="T18" s="101"/>
      <c r="U18" s="101"/>
      <c r="V18" s="102"/>
      <c r="W18" s="166"/>
    </row>
    <row r="19" spans="1:23" ht="27" customHeight="1" x14ac:dyDescent="0.45">
      <c r="A19" s="244"/>
      <c r="B19" s="234"/>
      <c r="C19" s="234"/>
      <c r="D19" s="258"/>
      <c r="E19" s="255"/>
      <c r="F19" s="45" t="s">
        <v>348</v>
      </c>
      <c r="G19" s="104"/>
      <c r="H19" s="105"/>
      <c r="I19" s="105"/>
      <c r="J19" s="105"/>
      <c r="K19" s="105"/>
      <c r="L19" s="105"/>
      <c r="M19" s="105"/>
      <c r="N19" s="67">
        <f t="shared" si="0"/>
        <v>0</v>
      </c>
      <c r="O19" s="67">
        <f t="shared" si="1"/>
        <v>0</v>
      </c>
      <c r="P19" s="100"/>
      <c r="Q19" s="101"/>
      <c r="R19" s="101"/>
      <c r="S19" s="101"/>
      <c r="T19" s="101"/>
      <c r="U19" s="101"/>
      <c r="V19" s="102"/>
      <c r="W19" s="166"/>
    </row>
    <row r="20" spans="1:23" ht="27" customHeight="1" thickBot="1" x14ac:dyDescent="0.5">
      <c r="A20" s="244"/>
      <c r="B20" s="234"/>
      <c r="C20" s="234"/>
      <c r="D20" s="215">
        <v>45</v>
      </c>
      <c r="E20" s="256" t="s">
        <v>239</v>
      </c>
      <c r="F20" s="25" t="s">
        <v>135</v>
      </c>
      <c r="G20" s="191">
        <v>0.75835616438356168</v>
      </c>
      <c r="H20" s="192"/>
      <c r="I20" s="192"/>
      <c r="J20" s="192"/>
      <c r="K20" s="192"/>
      <c r="L20" s="105"/>
      <c r="M20" s="105"/>
      <c r="N20" s="67">
        <f t="shared" si="0"/>
        <v>3</v>
      </c>
      <c r="O20" s="67">
        <f t="shared" si="1"/>
        <v>0</v>
      </c>
      <c r="P20" s="128"/>
      <c r="Q20" s="128"/>
      <c r="R20" s="128"/>
      <c r="S20" s="128"/>
      <c r="T20" s="128"/>
      <c r="U20" s="101"/>
      <c r="V20" s="102"/>
      <c r="W20" s="166"/>
    </row>
    <row r="21" spans="1:23" ht="27" customHeight="1" thickBot="1" x14ac:dyDescent="0.5">
      <c r="A21" s="252"/>
      <c r="B21" s="235"/>
      <c r="C21" s="235"/>
      <c r="D21" s="259"/>
      <c r="E21" s="260"/>
      <c r="F21" s="33" t="s">
        <v>134</v>
      </c>
      <c r="G21" s="125">
        <v>444000000000</v>
      </c>
      <c r="H21" s="126"/>
      <c r="I21" s="126"/>
      <c r="J21" s="126"/>
      <c r="K21" s="126"/>
      <c r="L21" s="126"/>
      <c r="M21" s="126"/>
      <c r="N21" s="68">
        <f t="shared" si="0"/>
        <v>3</v>
      </c>
      <c r="O21" s="69">
        <f t="shared" si="1"/>
        <v>0</v>
      </c>
      <c r="P21" s="128"/>
      <c r="Q21" s="128"/>
      <c r="R21" s="128"/>
      <c r="S21" s="128"/>
      <c r="T21" s="128"/>
      <c r="U21" s="129"/>
      <c r="V21" s="130"/>
      <c r="W21" s="167"/>
    </row>
  </sheetData>
  <mergeCells count="14">
    <mergeCell ref="P2:V2"/>
    <mergeCell ref="C4:C21"/>
    <mergeCell ref="B2:C2"/>
    <mergeCell ref="G2:M2"/>
    <mergeCell ref="B4:B21"/>
    <mergeCell ref="A4:A21"/>
    <mergeCell ref="D4:D8"/>
    <mergeCell ref="E5:E8"/>
    <mergeCell ref="D9:D19"/>
    <mergeCell ref="E9:E11"/>
    <mergeCell ref="E12:E15"/>
    <mergeCell ref="E16:E19"/>
    <mergeCell ref="D20:D21"/>
    <mergeCell ref="E20:E21"/>
  </mergeCells>
  <conditionalFormatting sqref="N3:O3">
    <cfRule type="iconSet" priority="2">
      <iconSet iconSet="5Quarters" showValue="0">
        <cfvo type="percent" val="0"/>
        <cfvo type="num" val="25"/>
        <cfvo type="num" val="50"/>
        <cfvo type="num" val="75"/>
        <cfvo type="num" val="98"/>
      </iconSet>
    </cfRule>
  </conditionalFormatting>
  <conditionalFormatting sqref="N4:O10 N21:O21">
    <cfRule type="iconSet" priority="3">
      <iconSet iconSet="3Symbols" showValue="0">
        <cfvo type="percent" val="0"/>
        <cfvo type="num" val="1"/>
        <cfvo type="num" val="2"/>
      </iconSet>
    </cfRule>
  </conditionalFormatting>
  <conditionalFormatting sqref="N11:O20">
    <cfRule type="iconSet" priority="1">
      <iconSet iconSet="3Symbols" showValue="0">
        <cfvo type="percent" val="0"/>
        <cfvo type="num" val="1"/>
        <cfvo type="num" val="2"/>
      </iconSet>
    </cfRule>
  </conditionalFormatting>
  <hyperlinks>
    <hyperlink ref="A1" location="'Agenda 2063'!A1" display="Back to Agenda 2063" xr:uid="{00000000-0004-0000-0200-000000000000}"/>
  </hyperlinks>
  <pageMargins left="0.7" right="0.7" top="0.75" bottom="0.75" header="0.3" footer="0.3"/>
  <pageSetup paperSize="9" orientation="portrait" verticalDpi="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7030A0"/>
  </sheetPr>
  <dimension ref="A1:W44"/>
  <sheetViews>
    <sheetView zoomScale="80" zoomScaleNormal="80" workbookViewId="0">
      <pane xSplit="1" ySplit="3" topLeftCell="I4" activePane="bottomRight" state="frozen"/>
      <selection pane="topRight" activeCell="B1" sqref="B1"/>
      <selection pane="bottomLeft" activeCell="A4" sqref="A4"/>
      <selection pane="bottomRight" activeCell="P4" sqref="P4:W44"/>
    </sheetView>
  </sheetViews>
  <sheetFormatPr baseColWidth="10" defaultColWidth="35" defaultRowHeight="18.5" x14ac:dyDescent="0.45"/>
  <cols>
    <col min="1" max="1" width="35.1796875" style="1" customWidth="1"/>
    <col min="2" max="2" width="55.453125" style="1" customWidth="1"/>
    <col min="3" max="4" width="12.453125" style="1" customWidth="1"/>
    <col min="5" max="5" width="19.81640625" style="1" customWidth="1"/>
    <col min="6" max="6" width="115" style="2" customWidth="1"/>
    <col min="7" max="13" width="11.1796875" style="1" customWidth="1"/>
    <col min="14" max="15" width="4" style="3" customWidth="1"/>
    <col min="16" max="22" width="13.26953125" style="1" customWidth="1"/>
    <col min="23" max="23" width="66.81640625" style="1" customWidth="1"/>
    <col min="24" max="16384" width="35" style="1"/>
  </cols>
  <sheetData>
    <row r="1" spans="1:23" x14ac:dyDescent="0.45">
      <c r="A1" s="6" t="s">
        <v>184</v>
      </c>
    </row>
    <row r="2" spans="1:23" ht="25.5" customHeight="1" x14ac:dyDescent="0.45">
      <c r="A2" s="36" t="s">
        <v>0</v>
      </c>
      <c r="B2" s="227" t="s">
        <v>183</v>
      </c>
      <c r="C2" s="227"/>
      <c r="D2" s="36"/>
      <c r="E2" s="36"/>
      <c r="F2" s="36" t="s">
        <v>211</v>
      </c>
      <c r="G2" s="227" t="s">
        <v>212</v>
      </c>
      <c r="H2" s="227"/>
      <c r="I2" s="227"/>
      <c r="J2" s="227"/>
      <c r="K2" s="227"/>
      <c r="L2" s="227"/>
      <c r="M2" s="227"/>
      <c r="N2" s="37" t="s">
        <v>2</v>
      </c>
      <c r="O2" s="37" t="s">
        <v>209</v>
      </c>
      <c r="P2" s="227" t="s">
        <v>193</v>
      </c>
      <c r="Q2" s="227"/>
      <c r="R2" s="227"/>
      <c r="S2" s="227"/>
      <c r="T2" s="227"/>
      <c r="U2" s="227"/>
      <c r="V2" s="227"/>
      <c r="W2" s="36" t="s">
        <v>213</v>
      </c>
    </row>
    <row r="3" spans="1:23" s="43" customFormat="1" ht="43.5" customHeight="1" thickBot="1" x14ac:dyDescent="0.5">
      <c r="A3" s="38"/>
      <c r="B3" s="39"/>
      <c r="C3" s="39"/>
      <c r="D3" s="80" t="s">
        <v>210</v>
      </c>
      <c r="E3" s="81" t="s">
        <v>404</v>
      </c>
      <c r="F3" s="40" t="s">
        <v>207</v>
      </c>
      <c r="G3" s="40">
        <v>2013</v>
      </c>
      <c r="H3" s="40">
        <v>2014</v>
      </c>
      <c r="I3" s="40">
        <v>2015</v>
      </c>
      <c r="J3" s="40">
        <v>2016</v>
      </c>
      <c r="K3" s="40">
        <v>2017</v>
      </c>
      <c r="L3" s="40">
        <v>2018</v>
      </c>
      <c r="M3" s="40">
        <v>2019</v>
      </c>
      <c r="N3" s="41">
        <f>SUM(N4:N44)</f>
        <v>0</v>
      </c>
      <c r="O3" s="41">
        <f>SUM(O4:O44)</f>
        <v>0</v>
      </c>
      <c r="P3" s="40">
        <v>2013</v>
      </c>
      <c r="Q3" s="40">
        <v>2014</v>
      </c>
      <c r="R3" s="40">
        <v>2015</v>
      </c>
      <c r="S3" s="40">
        <v>2016</v>
      </c>
      <c r="T3" s="40">
        <v>2017</v>
      </c>
      <c r="U3" s="40">
        <v>2018</v>
      </c>
      <c r="V3" s="40">
        <v>2019</v>
      </c>
      <c r="W3" s="70" t="s">
        <v>214</v>
      </c>
    </row>
    <row r="4" spans="1:23" ht="38.25" customHeight="1" thickTop="1" x14ac:dyDescent="0.45">
      <c r="A4" s="243" t="s">
        <v>194</v>
      </c>
      <c r="B4" s="243" t="s">
        <v>195</v>
      </c>
      <c r="C4" s="240"/>
      <c r="D4" s="198">
        <v>46</v>
      </c>
      <c r="E4" s="57" t="s">
        <v>239</v>
      </c>
      <c r="F4" s="34" t="s">
        <v>351</v>
      </c>
      <c r="G4" s="97"/>
      <c r="H4" s="98"/>
      <c r="I4" s="98"/>
      <c r="J4" s="98"/>
      <c r="K4" s="98"/>
      <c r="L4" s="98"/>
      <c r="M4" s="99"/>
      <c r="N4" s="67">
        <f t="shared" ref="N4:N44" si="0">IF(AND(G4=""),0,IF(OR(G4=""),2,3))</f>
        <v>0</v>
      </c>
      <c r="O4" s="67">
        <f t="shared" ref="O4:O44" si="1">IF(AND(M4=""),0,IF(OR(M4=""),1,2))</f>
        <v>0</v>
      </c>
      <c r="P4" s="97"/>
      <c r="Q4" s="98"/>
      <c r="R4" s="98"/>
      <c r="S4" s="98"/>
      <c r="T4" s="98"/>
      <c r="U4" s="98"/>
      <c r="V4" s="99"/>
      <c r="W4" s="165"/>
    </row>
    <row r="5" spans="1:23" ht="26.25" customHeight="1" x14ac:dyDescent="0.45">
      <c r="A5" s="244"/>
      <c r="B5" s="244"/>
      <c r="C5" s="241"/>
      <c r="D5" s="199"/>
      <c r="E5" s="201" t="s">
        <v>246</v>
      </c>
      <c r="F5" s="45" t="s">
        <v>352</v>
      </c>
      <c r="G5" s="119"/>
      <c r="H5" s="120"/>
      <c r="I5" s="120"/>
      <c r="J5" s="120"/>
      <c r="K5" s="120"/>
      <c r="L5" s="120"/>
      <c r="M5" s="121"/>
      <c r="N5" s="67">
        <f t="shared" si="0"/>
        <v>0</v>
      </c>
      <c r="O5" s="67">
        <f t="shared" si="1"/>
        <v>0</v>
      </c>
      <c r="P5" s="119"/>
      <c r="Q5" s="120"/>
      <c r="R5" s="120"/>
      <c r="S5" s="120"/>
      <c r="T5" s="120"/>
      <c r="U5" s="120"/>
      <c r="V5" s="121"/>
      <c r="W5" s="165"/>
    </row>
    <row r="6" spans="1:23" ht="26.25" customHeight="1" x14ac:dyDescent="0.45">
      <c r="A6" s="244"/>
      <c r="B6" s="244"/>
      <c r="C6" s="241"/>
      <c r="D6" s="199"/>
      <c r="E6" s="201"/>
      <c r="F6" s="45" t="s">
        <v>353</v>
      </c>
      <c r="G6" s="119"/>
      <c r="H6" s="120"/>
      <c r="I6" s="120"/>
      <c r="J6" s="120"/>
      <c r="K6" s="120"/>
      <c r="L6" s="120"/>
      <c r="M6" s="121"/>
      <c r="N6" s="67">
        <f t="shared" si="0"/>
        <v>0</v>
      </c>
      <c r="O6" s="67">
        <f t="shared" si="1"/>
        <v>0</v>
      </c>
      <c r="P6" s="119"/>
      <c r="Q6" s="120"/>
      <c r="R6" s="120"/>
      <c r="S6" s="120"/>
      <c r="T6" s="120"/>
      <c r="U6" s="120"/>
      <c r="V6" s="121"/>
      <c r="W6" s="165"/>
    </row>
    <row r="7" spans="1:23" ht="26.25" customHeight="1" x14ac:dyDescent="0.45">
      <c r="A7" s="244"/>
      <c r="B7" s="244"/>
      <c r="C7" s="241"/>
      <c r="D7" s="199"/>
      <c r="E7" s="201" t="s">
        <v>243</v>
      </c>
      <c r="F7" s="45" t="s">
        <v>359</v>
      </c>
      <c r="G7" s="119"/>
      <c r="H7" s="120"/>
      <c r="I7" s="120"/>
      <c r="J7" s="120"/>
      <c r="K7" s="120"/>
      <c r="L7" s="120"/>
      <c r="M7" s="121"/>
      <c r="N7" s="67">
        <f t="shared" si="0"/>
        <v>0</v>
      </c>
      <c r="O7" s="67">
        <f t="shared" si="1"/>
        <v>0</v>
      </c>
      <c r="P7" s="119"/>
      <c r="Q7" s="120"/>
      <c r="R7" s="120"/>
      <c r="S7" s="120"/>
      <c r="T7" s="120"/>
      <c r="U7" s="120"/>
      <c r="V7" s="121"/>
      <c r="W7" s="165"/>
    </row>
    <row r="8" spans="1:23" ht="26.25" customHeight="1" x14ac:dyDescent="0.45">
      <c r="A8" s="244"/>
      <c r="B8" s="244"/>
      <c r="C8" s="241"/>
      <c r="D8" s="199"/>
      <c r="E8" s="201"/>
      <c r="F8" s="45" t="s">
        <v>360</v>
      </c>
      <c r="G8" s="119"/>
      <c r="H8" s="120"/>
      <c r="I8" s="120"/>
      <c r="J8" s="120"/>
      <c r="K8" s="120"/>
      <c r="L8" s="120"/>
      <c r="M8" s="121"/>
      <c r="N8" s="67">
        <f t="shared" si="0"/>
        <v>0</v>
      </c>
      <c r="O8" s="67">
        <f t="shared" si="1"/>
        <v>0</v>
      </c>
      <c r="P8" s="119"/>
      <c r="Q8" s="120"/>
      <c r="R8" s="120"/>
      <c r="S8" s="120"/>
      <c r="T8" s="120"/>
      <c r="U8" s="120"/>
      <c r="V8" s="121"/>
      <c r="W8" s="165"/>
    </row>
    <row r="9" spans="1:23" ht="26.25" customHeight="1" x14ac:dyDescent="0.45">
      <c r="A9" s="244"/>
      <c r="B9" s="244"/>
      <c r="C9" s="241"/>
      <c r="D9" s="199"/>
      <c r="E9" s="201" t="s">
        <v>244</v>
      </c>
      <c r="F9" s="45" t="s">
        <v>354</v>
      </c>
      <c r="G9" s="119"/>
      <c r="H9" s="120"/>
      <c r="I9" s="120"/>
      <c r="J9" s="120"/>
      <c r="K9" s="120"/>
      <c r="L9" s="120"/>
      <c r="M9" s="121"/>
      <c r="N9" s="67">
        <f t="shared" si="0"/>
        <v>0</v>
      </c>
      <c r="O9" s="67">
        <f t="shared" si="1"/>
        <v>0</v>
      </c>
      <c r="P9" s="119"/>
      <c r="Q9" s="120"/>
      <c r="R9" s="120"/>
      <c r="S9" s="120"/>
      <c r="T9" s="120"/>
      <c r="U9" s="120"/>
      <c r="V9" s="121"/>
      <c r="W9" s="165"/>
    </row>
    <row r="10" spans="1:23" ht="26.25" customHeight="1" x14ac:dyDescent="0.45">
      <c r="A10" s="244"/>
      <c r="B10" s="244"/>
      <c r="C10" s="241"/>
      <c r="D10" s="199"/>
      <c r="E10" s="201"/>
      <c r="F10" s="45" t="s">
        <v>355</v>
      </c>
      <c r="G10" s="119"/>
      <c r="H10" s="120"/>
      <c r="I10" s="120"/>
      <c r="J10" s="120"/>
      <c r="K10" s="120"/>
      <c r="L10" s="120"/>
      <c r="M10" s="121"/>
      <c r="N10" s="67">
        <f t="shared" si="0"/>
        <v>0</v>
      </c>
      <c r="O10" s="67">
        <f t="shared" si="1"/>
        <v>0</v>
      </c>
      <c r="P10" s="119"/>
      <c r="Q10" s="120"/>
      <c r="R10" s="120"/>
      <c r="S10" s="120"/>
      <c r="T10" s="120"/>
      <c r="U10" s="120"/>
      <c r="V10" s="121"/>
      <c r="W10" s="165"/>
    </row>
    <row r="11" spans="1:23" ht="26.25" customHeight="1" x14ac:dyDescent="0.45">
      <c r="A11" s="244"/>
      <c r="B11" s="244"/>
      <c r="C11" s="241"/>
      <c r="D11" s="199"/>
      <c r="E11" s="201"/>
      <c r="F11" s="45" t="s">
        <v>356</v>
      </c>
      <c r="G11" s="119"/>
      <c r="H11" s="120"/>
      <c r="I11" s="120"/>
      <c r="J11" s="120"/>
      <c r="K11" s="120"/>
      <c r="L11" s="120"/>
      <c r="M11" s="121"/>
      <c r="N11" s="67">
        <f t="shared" si="0"/>
        <v>0</v>
      </c>
      <c r="O11" s="67">
        <f t="shared" si="1"/>
        <v>0</v>
      </c>
      <c r="P11" s="119"/>
      <c r="Q11" s="120"/>
      <c r="R11" s="120"/>
      <c r="S11" s="120"/>
      <c r="T11" s="120"/>
      <c r="U11" s="120"/>
      <c r="V11" s="121"/>
      <c r="W11" s="165"/>
    </row>
    <row r="12" spans="1:23" ht="26.25" customHeight="1" x14ac:dyDescent="0.45">
      <c r="A12" s="244"/>
      <c r="B12" s="244"/>
      <c r="C12" s="241"/>
      <c r="D12" s="199"/>
      <c r="E12" s="201"/>
      <c r="F12" s="45" t="s">
        <v>357</v>
      </c>
      <c r="G12" s="119"/>
      <c r="H12" s="120"/>
      <c r="I12" s="120"/>
      <c r="J12" s="120"/>
      <c r="K12" s="120"/>
      <c r="L12" s="120"/>
      <c r="M12" s="121"/>
      <c r="N12" s="67">
        <f t="shared" si="0"/>
        <v>0</v>
      </c>
      <c r="O12" s="67">
        <f t="shared" si="1"/>
        <v>0</v>
      </c>
      <c r="P12" s="119"/>
      <c r="Q12" s="120"/>
      <c r="R12" s="120"/>
      <c r="S12" s="120"/>
      <c r="T12" s="120"/>
      <c r="U12" s="120"/>
      <c r="V12" s="121"/>
      <c r="W12" s="165"/>
    </row>
    <row r="13" spans="1:23" ht="26.25" customHeight="1" x14ac:dyDescent="0.45">
      <c r="A13" s="244"/>
      <c r="B13" s="244"/>
      <c r="C13" s="241"/>
      <c r="D13" s="199"/>
      <c r="E13" s="202"/>
      <c r="F13" s="45" t="s">
        <v>358</v>
      </c>
      <c r="G13" s="119"/>
      <c r="H13" s="120"/>
      <c r="I13" s="120"/>
      <c r="J13" s="120"/>
      <c r="K13" s="120"/>
      <c r="L13" s="120"/>
      <c r="M13" s="121"/>
      <c r="N13" s="67">
        <f t="shared" si="0"/>
        <v>0</v>
      </c>
      <c r="O13" s="67">
        <f t="shared" si="1"/>
        <v>0</v>
      </c>
      <c r="P13" s="119"/>
      <c r="Q13" s="120"/>
      <c r="R13" s="120"/>
      <c r="S13" s="120"/>
      <c r="T13" s="120"/>
      <c r="U13" s="120"/>
      <c r="V13" s="121"/>
      <c r="W13" s="165"/>
    </row>
    <row r="14" spans="1:23" ht="26.25" customHeight="1" x14ac:dyDescent="0.45">
      <c r="A14" s="244"/>
      <c r="B14" s="244"/>
      <c r="C14" s="241"/>
      <c r="D14" s="199">
        <v>47</v>
      </c>
      <c r="E14" s="48" t="s">
        <v>239</v>
      </c>
      <c r="F14" s="35" t="s">
        <v>361</v>
      </c>
      <c r="G14" s="104"/>
      <c r="H14" s="105"/>
      <c r="I14" s="105"/>
      <c r="J14" s="105"/>
      <c r="K14" s="105"/>
      <c r="L14" s="105"/>
      <c r="M14" s="106"/>
      <c r="N14" s="67">
        <f t="shared" si="0"/>
        <v>0</v>
      </c>
      <c r="O14" s="67">
        <f t="shared" si="1"/>
        <v>0</v>
      </c>
      <c r="P14" s="100"/>
      <c r="Q14" s="101"/>
      <c r="R14" s="101"/>
      <c r="S14" s="101"/>
      <c r="T14" s="101"/>
      <c r="U14" s="101"/>
      <c r="V14" s="102"/>
      <c r="W14" s="166"/>
    </row>
    <row r="15" spans="1:23" ht="26.25" customHeight="1" x14ac:dyDescent="0.45">
      <c r="A15" s="244"/>
      <c r="B15" s="244"/>
      <c r="C15" s="241"/>
      <c r="D15" s="199"/>
      <c r="E15" s="201" t="s">
        <v>246</v>
      </c>
      <c r="F15" s="45" t="s">
        <v>368</v>
      </c>
      <c r="G15" s="104"/>
      <c r="H15" s="105"/>
      <c r="I15" s="105"/>
      <c r="J15" s="105"/>
      <c r="K15" s="105"/>
      <c r="L15" s="105"/>
      <c r="M15" s="106"/>
      <c r="N15" s="67">
        <f t="shared" si="0"/>
        <v>0</v>
      </c>
      <c r="O15" s="67">
        <f t="shared" si="1"/>
        <v>0</v>
      </c>
      <c r="P15" s="100"/>
      <c r="Q15" s="101"/>
      <c r="R15" s="101"/>
      <c r="S15" s="101"/>
      <c r="T15" s="101"/>
      <c r="U15" s="101"/>
      <c r="V15" s="102"/>
      <c r="W15" s="166"/>
    </row>
    <row r="16" spans="1:23" ht="26.25" customHeight="1" x14ac:dyDescent="0.45">
      <c r="A16" s="244"/>
      <c r="B16" s="244"/>
      <c r="C16" s="241"/>
      <c r="D16" s="199"/>
      <c r="E16" s="201"/>
      <c r="F16" s="45" t="s">
        <v>362</v>
      </c>
      <c r="G16" s="104"/>
      <c r="H16" s="105"/>
      <c r="I16" s="105"/>
      <c r="J16" s="105"/>
      <c r="K16" s="105"/>
      <c r="L16" s="105"/>
      <c r="M16" s="106"/>
      <c r="N16" s="67">
        <f t="shared" si="0"/>
        <v>0</v>
      </c>
      <c r="O16" s="67">
        <f t="shared" si="1"/>
        <v>0</v>
      </c>
      <c r="P16" s="100"/>
      <c r="Q16" s="101"/>
      <c r="R16" s="101"/>
      <c r="S16" s="101"/>
      <c r="T16" s="101"/>
      <c r="U16" s="101"/>
      <c r="V16" s="102"/>
      <c r="W16" s="166"/>
    </row>
    <row r="17" spans="1:23" ht="26.25" customHeight="1" x14ac:dyDescent="0.45">
      <c r="A17" s="244"/>
      <c r="B17" s="244"/>
      <c r="C17" s="241"/>
      <c r="D17" s="199"/>
      <c r="E17" s="201" t="s">
        <v>243</v>
      </c>
      <c r="F17" s="45" t="s">
        <v>369</v>
      </c>
      <c r="G17" s="104"/>
      <c r="H17" s="105"/>
      <c r="I17" s="105"/>
      <c r="J17" s="105"/>
      <c r="K17" s="105"/>
      <c r="L17" s="105"/>
      <c r="M17" s="106"/>
      <c r="N17" s="67">
        <f t="shared" si="0"/>
        <v>0</v>
      </c>
      <c r="O17" s="67">
        <f t="shared" si="1"/>
        <v>0</v>
      </c>
      <c r="P17" s="100"/>
      <c r="Q17" s="101"/>
      <c r="R17" s="101"/>
      <c r="S17" s="101"/>
      <c r="T17" s="101"/>
      <c r="U17" s="101"/>
      <c r="V17" s="102"/>
      <c r="W17" s="166"/>
    </row>
    <row r="18" spans="1:23" ht="26.25" customHeight="1" x14ac:dyDescent="0.45">
      <c r="A18" s="244"/>
      <c r="B18" s="244"/>
      <c r="C18" s="241"/>
      <c r="D18" s="199"/>
      <c r="E18" s="201"/>
      <c r="F18" s="45" t="s">
        <v>370</v>
      </c>
      <c r="G18" s="104"/>
      <c r="H18" s="105"/>
      <c r="I18" s="105"/>
      <c r="J18" s="105"/>
      <c r="K18" s="105"/>
      <c r="L18" s="105"/>
      <c r="M18" s="106"/>
      <c r="N18" s="67">
        <f t="shared" si="0"/>
        <v>0</v>
      </c>
      <c r="O18" s="67">
        <f t="shared" si="1"/>
        <v>0</v>
      </c>
      <c r="P18" s="100"/>
      <c r="Q18" s="101"/>
      <c r="R18" s="101"/>
      <c r="S18" s="101"/>
      <c r="T18" s="101"/>
      <c r="U18" s="101"/>
      <c r="V18" s="102"/>
      <c r="W18" s="166"/>
    </row>
    <row r="19" spans="1:23" ht="26.25" customHeight="1" x14ac:dyDescent="0.45">
      <c r="A19" s="244"/>
      <c r="B19" s="244"/>
      <c r="C19" s="241"/>
      <c r="D19" s="199"/>
      <c r="E19" s="201" t="s">
        <v>244</v>
      </c>
      <c r="F19" s="45" t="s">
        <v>363</v>
      </c>
      <c r="G19" s="104"/>
      <c r="H19" s="105"/>
      <c r="I19" s="105"/>
      <c r="J19" s="105"/>
      <c r="K19" s="105"/>
      <c r="L19" s="105"/>
      <c r="M19" s="106"/>
      <c r="N19" s="67">
        <f t="shared" si="0"/>
        <v>0</v>
      </c>
      <c r="O19" s="67">
        <f t="shared" si="1"/>
        <v>0</v>
      </c>
      <c r="P19" s="100"/>
      <c r="Q19" s="101"/>
      <c r="R19" s="101"/>
      <c r="S19" s="101"/>
      <c r="T19" s="101"/>
      <c r="U19" s="101"/>
      <c r="V19" s="102"/>
      <c r="W19" s="166"/>
    </row>
    <row r="20" spans="1:23" ht="26.25" customHeight="1" x14ac:dyDescent="0.45">
      <c r="A20" s="244"/>
      <c r="B20" s="244"/>
      <c r="C20" s="241"/>
      <c r="D20" s="199"/>
      <c r="E20" s="201"/>
      <c r="F20" s="45" t="s">
        <v>364</v>
      </c>
      <c r="G20" s="104"/>
      <c r="H20" s="105"/>
      <c r="I20" s="105"/>
      <c r="J20" s="105"/>
      <c r="K20" s="105"/>
      <c r="L20" s="105"/>
      <c r="M20" s="106"/>
      <c r="N20" s="67">
        <f t="shared" si="0"/>
        <v>0</v>
      </c>
      <c r="O20" s="67">
        <f t="shared" si="1"/>
        <v>0</v>
      </c>
      <c r="P20" s="100"/>
      <c r="Q20" s="101"/>
      <c r="R20" s="101"/>
      <c r="S20" s="101"/>
      <c r="T20" s="101"/>
      <c r="U20" s="101"/>
      <c r="V20" s="102"/>
      <c r="W20" s="166"/>
    </row>
    <row r="21" spans="1:23" ht="26.25" customHeight="1" x14ac:dyDescent="0.45">
      <c r="A21" s="244"/>
      <c r="B21" s="244"/>
      <c r="C21" s="241"/>
      <c r="D21" s="199"/>
      <c r="E21" s="201"/>
      <c r="F21" s="45" t="s">
        <v>365</v>
      </c>
      <c r="G21" s="104"/>
      <c r="H21" s="105"/>
      <c r="I21" s="105"/>
      <c r="J21" s="105"/>
      <c r="K21" s="105"/>
      <c r="L21" s="105"/>
      <c r="M21" s="106"/>
      <c r="N21" s="67">
        <f t="shared" si="0"/>
        <v>0</v>
      </c>
      <c r="O21" s="67">
        <f t="shared" si="1"/>
        <v>0</v>
      </c>
      <c r="P21" s="100"/>
      <c r="Q21" s="101"/>
      <c r="R21" s="101"/>
      <c r="S21" s="101"/>
      <c r="T21" s="101"/>
      <c r="U21" s="101"/>
      <c r="V21" s="102"/>
      <c r="W21" s="166"/>
    </row>
    <row r="22" spans="1:23" ht="26.25" customHeight="1" x14ac:dyDescent="0.45">
      <c r="A22" s="244"/>
      <c r="B22" s="244"/>
      <c r="C22" s="241"/>
      <c r="D22" s="199"/>
      <c r="E22" s="201"/>
      <c r="F22" s="45" t="s">
        <v>366</v>
      </c>
      <c r="G22" s="104"/>
      <c r="H22" s="105"/>
      <c r="I22" s="105"/>
      <c r="J22" s="105"/>
      <c r="K22" s="105"/>
      <c r="L22" s="105"/>
      <c r="M22" s="106"/>
      <c r="N22" s="67">
        <f t="shared" si="0"/>
        <v>0</v>
      </c>
      <c r="O22" s="67">
        <f t="shared" si="1"/>
        <v>0</v>
      </c>
      <c r="P22" s="100"/>
      <c r="Q22" s="101"/>
      <c r="R22" s="101"/>
      <c r="S22" s="101"/>
      <c r="T22" s="101"/>
      <c r="U22" s="101"/>
      <c r="V22" s="102"/>
      <c r="W22" s="166"/>
    </row>
    <row r="23" spans="1:23" ht="26.25" customHeight="1" x14ac:dyDescent="0.45">
      <c r="A23" s="244"/>
      <c r="B23" s="244"/>
      <c r="C23" s="241"/>
      <c r="D23" s="199"/>
      <c r="E23" s="202"/>
      <c r="F23" s="45" t="s">
        <v>367</v>
      </c>
      <c r="G23" s="104"/>
      <c r="H23" s="105"/>
      <c r="I23" s="105"/>
      <c r="J23" s="105"/>
      <c r="K23" s="105"/>
      <c r="L23" s="105"/>
      <c r="M23" s="106"/>
      <c r="N23" s="67">
        <f t="shared" si="0"/>
        <v>0</v>
      </c>
      <c r="O23" s="67">
        <f t="shared" si="1"/>
        <v>0</v>
      </c>
      <c r="P23" s="100"/>
      <c r="Q23" s="101"/>
      <c r="R23" s="101"/>
      <c r="S23" s="101"/>
      <c r="T23" s="101"/>
      <c r="U23" s="101"/>
      <c r="V23" s="102"/>
      <c r="W23" s="166"/>
    </row>
    <row r="24" spans="1:23" ht="26.25" customHeight="1" x14ac:dyDescent="0.45">
      <c r="A24" s="244"/>
      <c r="B24" s="244"/>
      <c r="C24" s="241"/>
      <c r="D24" s="199">
        <v>48</v>
      </c>
      <c r="E24" s="48" t="s">
        <v>239</v>
      </c>
      <c r="F24" s="35" t="s">
        <v>371</v>
      </c>
      <c r="G24" s="104"/>
      <c r="H24" s="105"/>
      <c r="I24" s="105"/>
      <c r="J24" s="105"/>
      <c r="K24" s="105"/>
      <c r="L24" s="105"/>
      <c r="M24" s="106"/>
      <c r="N24" s="67">
        <f t="shared" si="0"/>
        <v>0</v>
      </c>
      <c r="O24" s="67">
        <f t="shared" si="1"/>
        <v>0</v>
      </c>
      <c r="P24" s="100"/>
      <c r="Q24" s="101"/>
      <c r="R24" s="101"/>
      <c r="S24" s="101"/>
      <c r="T24" s="101"/>
      <c r="U24" s="101"/>
      <c r="V24" s="102"/>
      <c r="W24" s="166"/>
    </row>
    <row r="25" spans="1:23" ht="26.25" customHeight="1" x14ac:dyDescent="0.45">
      <c r="A25" s="244"/>
      <c r="B25" s="244"/>
      <c r="C25" s="241"/>
      <c r="D25" s="199"/>
      <c r="E25" s="201" t="s">
        <v>246</v>
      </c>
      <c r="F25" s="45" t="s">
        <v>379</v>
      </c>
      <c r="G25" s="104"/>
      <c r="H25" s="105"/>
      <c r="I25" s="105"/>
      <c r="J25" s="105"/>
      <c r="K25" s="105"/>
      <c r="L25" s="105"/>
      <c r="M25" s="106"/>
      <c r="N25" s="67">
        <f t="shared" si="0"/>
        <v>0</v>
      </c>
      <c r="O25" s="67">
        <f t="shared" si="1"/>
        <v>0</v>
      </c>
      <c r="P25" s="100"/>
      <c r="Q25" s="101"/>
      <c r="R25" s="101"/>
      <c r="S25" s="101"/>
      <c r="T25" s="101"/>
      <c r="U25" s="101"/>
      <c r="V25" s="102"/>
      <c r="W25" s="166"/>
    </row>
    <row r="26" spans="1:23" ht="26.25" customHeight="1" x14ac:dyDescent="0.45">
      <c r="A26" s="244"/>
      <c r="B26" s="244"/>
      <c r="C26" s="241"/>
      <c r="D26" s="199"/>
      <c r="E26" s="201"/>
      <c r="F26" s="45" t="s">
        <v>372</v>
      </c>
      <c r="G26" s="104"/>
      <c r="H26" s="105"/>
      <c r="I26" s="105"/>
      <c r="J26" s="105"/>
      <c r="K26" s="105"/>
      <c r="L26" s="105"/>
      <c r="M26" s="106"/>
      <c r="N26" s="67">
        <f t="shared" si="0"/>
        <v>0</v>
      </c>
      <c r="O26" s="67">
        <f t="shared" si="1"/>
        <v>0</v>
      </c>
      <c r="P26" s="100"/>
      <c r="Q26" s="101"/>
      <c r="R26" s="101"/>
      <c r="S26" s="101"/>
      <c r="T26" s="101"/>
      <c r="U26" s="101"/>
      <c r="V26" s="102"/>
      <c r="W26" s="166"/>
    </row>
    <row r="27" spans="1:23" ht="26.25" customHeight="1" x14ac:dyDescent="0.45">
      <c r="A27" s="244"/>
      <c r="B27" s="244"/>
      <c r="C27" s="241"/>
      <c r="D27" s="199"/>
      <c r="E27" s="201" t="s">
        <v>243</v>
      </c>
      <c r="F27" s="45" t="s">
        <v>378</v>
      </c>
      <c r="G27" s="104"/>
      <c r="H27" s="105"/>
      <c r="I27" s="105"/>
      <c r="J27" s="105"/>
      <c r="K27" s="105"/>
      <c r="L27" s="105"/>
      <c r="M27" s="106"/>
      <c r="N27" s="67">
        <f t="shared" si="0"/>
        <v>0</v>
      </c>
      <c r="O27" s="67">
        <f t="shared" si="1"/>
        <v>0</v>
      </c>
      <c r="P27" s="100"/>
      <c r="Q27" s="101"/>
      <c r="R27" s="101"/>
      <c r="S27" s="101"/>
      <c r="T27" s="101"/>
      <c r="U27" s="101"/>
      <c r="V27" s="102"/>
      <c r="W27" s="166"/>
    </row>
    <row r="28" spans="1:23" ht="26.25" customHeight="1" x14ac:dyDescent="0.45">
      <c r="A28" s="244"/>
      <c r="B28" s="244"/>
      <c r="C28" s="241"/>
      <c r="D28" s="199"/>
      <c r="E28" s="201"/>
      <c r="F28" s="45" t="s">
        <v>380</v>
      </c>
      <c r="G28" s="104"/>
      <c r="H28" s="105"/>
      <c r="I28" s="105"/>
      <c r="J28" s="105"/>
      <c r="K28" s="105"/>
      <c r="L28" s="105"/>
      <c r="M28" s="106"/>
      <c r="N28" s="67">
        <f t="shared" si="0"/>
        <v>0</v>
      </c>
      <c r="O28" s="67">
        <f t="shared" si="1"/>
        <v>0</v>
      </c>
      <c r="P28" s="100"/>
      <c r="Q28" s="101"/>
      <c r="R28" s="101"/>
      <c r="S28" s="101"/>
      <c r="T28" s="101"/>
      <c r="U28" s="101"/>
      <c r="V28" s="102"/>
      <c r="W28" s="166"/>
    </row>
    <row r="29" spans="1:23" ht="26.25" customHeight="1" x14ac:dyDescent="0.45">
      <c r="A29" s="244"/>
      <c r="B29" s="244"/>
      <c r="C29" s="241"/>
      <c r="D29" s="199"/>
      <c r="E29" s="201" t="s">
        <v>244</v>
      </c>
      <c r="F29" s="45" t="s">
        <v>373</v>
      </c>
      <c r="G29" s="104"/>
      <c r="H29" s="105"/>
      <c r="I29" s="105"/>
      <c r="J29" s="105"/>
      <c r="K29" s="105"/>
      <c r="L29" s="105"/>
      <c r="M29" s="106"/>
      <c r="N29" s="67">
        <f t="shared" si="0"/>
        <v>0</v>
      </c>
      <c r="O29" s="67">
        <f t="shared" si="1"/>
        <v>0</v>
      </c>
      <c r="P29" s="100"/>
      <c r="Q29" s="101"/>
      <c r="R29" s="101"/>
      <c r="S29" s="101"/>
      <c r="T29" s="101"/>
      <c r="U29" s="101"/>
      <c r="V29" s="102"/>
      <c r="W29" s="166"/>
    </row>
    <row r="30" spans="1:23" ht="26.25" customHeight="1" x14ac:dyDescent="0.45">
      <c r="A30" s="244"/>
      <c r="B30" s="244"/>
      <c r="C30" s="241"/>
      <c r="D30" s="199"/>
      <c r="E30" s="201"/>
      <c r="F30" s="45" t="s">
        <v>374</v>
      </c>
      <c r="G30" s="104"/>
      <c r="H30" s="105"/>
      <c r="I30" s="105"/>
      <c r="J30" s="105"/>
      <c r="K30" s="105"/>
      <c r="L30" s="105"/>
      <c r="M30" s="106"/>
      <c r="N30" s="67">
        <f t="shared" si="0"/>
        <v>0</v>
      </c>
      <c r="O30" s="67">
        <f t="shared" si="1"/>
        <v>0</v>
      </c>
      <c r="P30" s="100"/>
      <c r="Q30" s="101"/>
      <c r="R30" s="101"/>
      <c r="S30" s="101"/>
      <c r="T30" s="101"/>
      <c r="U30" s="101"/>
      <c r="V30" s="102"/>
      <c r="W30" s="166"/>
    </row>
    <row r="31" spans="1:23" ht="26.25" customHeight="1" x14ac:dyDescent="0.45">
      <c r="A31" s="244"/>
      <c r="B31" s="244"/>
      <c r="C31" s="241"/>
      <c r="D31" s="199"/>
      <c r="E31" s="201"/>
      <c r="F31" s="45" t="s">
        <v>375</v>
      </c>
      <c r="G31" s="104"/>
      <c r="H31" s="105"/>
      <c r="I31" s="105"/>
      <c r="J31" s="105"/>
      <c r="K31" s="105"/>
      <c r="L31" s="105"/>
      <c r="M31" s="106"/>
      <c r="N31" s="67">
        <f t="shared" si="0"/>
        <v>0</v>
      </c>
      <c r="O31" s="67">
        <f t="shared" si="1"/>
        <v>0</v>
      </c>
      <c r="P31" s="100"/>
      <c r="Q31" s="101"/>
      <c r="R31" s="101"/>
      <c r="S31" s="101"/>
      <c r="T31" s="101"/>
      <c r="U31" s="101"/>
      <c r="V31" s="102"/>
      <c r="W31" s="166"/>
    </row>
    <row r="32" spans="1:23" ht="26.25" customHeight="1" x14ac:dyDescent="0.45">
      <c r="A32" s="244"/>
      <c r="B32" s="244"/>
      <c r="C32" s="241"/>
      <c r="D32" s="199"/>
      <c r="E32" s="201"/>
      <c r="F32" s="45" t="s">
        <v>376</v>
      </c>
      <c r="G32" s="104"/>
      <c r="H32" s="105"/>
      <c r="I32" s="105"/>
      <c r="J32" s="105"/>
      <c r="K32" s="105"/>
      <c r="L32" s="105"/>
      <c r="M32" s="106"/>
      <c r="N32" s="67">
        <f t="shared" si="0"/>
        <v>0</v>
      </c>
      <c r="O32" s="67">
        <f t="shared" si="1"/>
        <v>0</v>
      </c>
      <c r="P32" s="100"/>
      <c r="Q32" s="101"/>
      <c r="R32" s="101"/>
      <c r="S32" s="101"/>
      <c r="T32" s="101"/>
      <c r="U32" s="101"/>
      <c r="V32" s="102"/>
      <c r="W32" s="166"/>
    </row>
    <row r="33" spans="1:23" ht="26.25" customHeight="1" thickBot="1" x14ac:dyDescent="0.5">
      <c r="A33" s="244"/>
      <c r="B33" s="244"/>
      <c r="C33" s="241"/>
      <c r="D33" s="199"/>
      <c r="E33" s="202"/>
      <c r="F33" s="45" t="s">
        <v>377</v>
      </c>
      <c r="G33" s="104"/>
      <c r="H33" s="105"/>
      <c r="I33" s="105"/>
      <c r="J33" s="105"/>
      <c r="K33" s="105"/>
      <c r="L33" s="105"/>
      <c r="M33" s="106"/>
      <c r="N33" s="67">
        <f t="shared" si="0"/>
        <v>0</v>
      </c>
      <c r="O33" s="67">
        <f t="shared" si="1"/>
        <v>0</v>
      </c>
      <c r="P33" s="100"/>
      <c r="Q33" s="101"/>
      <c r="R33" s="101"/>
      <c r="S33" s="101"/>
      <c r="T33" s="101"/>
      <c r="U33" s="101"/>
      <c r="V33" s="102"/>
      <c r="W33" s="166"/>
    </row>
    <row r="34" spans="1:23" ht="53.25" customHeight="1" x14ac:dyDescent="0.45">
      <c r="A34" s="244"/>
      <c r="B34" s="243" t="s">
        <v>196</v>
      </c>
      <c r="C34" s="240"/>
      <c r="D34" s="214">
        <v>49</v>
      </c>
      <c r="E34" s="49" t="s">
        <v>239</v>
      </c>
      <c r="F34" s="71" t="s">
        <v>381</v>
      </c>
      <c r="G34" s="104"/>
      <c r="H34" s="105"/>
      <c r="I34" s="105"/>
      <c r="J34" s="105"/>
      <c r="K34" s="105"/>
      <c r="L34" s="105"/>
      <c r="M34" s="106"/>
      <c r="N34" s="67">
        <f t="shared" si="0"/>
        <v>0</v>
      </c>
      <c r="O34" s="67">
        <f t="shared" si="1"/>
        <v>0</v>
      </c>
      <c r="P34" s="100"/>
      <c r="Q34" s="101"/>
      <c r="R34" s="101"/>
      <c r="S34" s="101"/>
      <c r="T34" s="101"/>
      <c r="U34" s="101"/>
      <c r="V34" s="102"/>
      <c r="W34" s="166"/>
    </row>
    <row r="35" spans="1:23" ht="26.25" customHeight="1" x14ac:dyDescent="0.45">
      <c r="A35" s="244"/>
      <c r="B35" s="244"/>
      <c r="C35" s="241"/>
      <c r="D35" s="215"/>
      <c r="E35" s="201" t="s">
        <v>246</v>
      </c>
      <c r="F35" s="45" t="s">
        <v>382</v>
      </c>
      <c r="G35" s="104"/>
      <c r="H35" s="105"/>
      <c r="I35" s="105"/>
      <c r="J35" s="105"/>
      <c r="K35" s="105"/>
      <c r="L35" s="105"/>
      <c r="M35" s="106"/>
      <c r="N35" s="67">
        <f t="shared" si="0"/>
        <v>0</v>
      </c>
      <c r="O35" s="67">
        <f t="shared" si="1"/>
        <v>0</v>
      </c>
      <c r="P35" s="100"/>
      <c r="Q35" s="101"/>
      <c r="R35" s="101"/>
      <c r="S35" s="101"/>
      <c r="T35" s="101"/>
      <c r="U35" s="101"/>
      <c r="V35" s="102"/>
      <c r="W35" s="166"/>
    </row>
    <row r="36" spans="1:23" ht="26.25" customHeight="1" x14ac:dyDescent="0.45">
      <c r="A36" s="244"/>
      <c r="B36" s="244"/>
      <c r="C36" s="241"/>
      <c r="D36" s="215"/>
      <c r="E36" s="201"/>
      <c r="F36" s="45" t="s">
        <v>383</v>
      </c>
      <c r="G36" s="104"/>
      <c r="H36" s="105"/>
      <c r="I36" s="105"/>
      <c r="J36" s="105"/>
      <c r="K36" s="105"/>
      <c r="L36" s="105"/>
      <c r="M36" s="106"/>
      <c r="N36" s="67">
        <f t="shared" si="0"/>
        <v>0</v>
      </c>
      <c r="O36" s="67">
        <f t="shared" si="1"/>
        <v>0</v>
      </c>
      <c r="P36" s="100"/>
      <c r="Q36" s="101"/>
      <c r="R36" s="101"/>
      <c r="S36" s="101"/>
      <c r="T36" s="101"/>
      <c r="U36" s="101"/>
      <c r="V36" s="102"/>
      <c r="W36" s="166"/>
    </row>
    <row r="37" spans="1:23" ht="26.25" customHeight="1" x14ac:dyDescent="0.45">
      <c r="A37" s="244"/>
      <c r="B37" s="244"/>
      <c r="C37" s="241"/>
      <c r="D37" s="215"/>
      <c r="E37" s="203" t="s">
        <v>243</v>
      </c>
      <c r="F37" s="45" t="s">
        <v>384</v>
      </c>
      <c r="G37" s="104"/>
      <c r="H37" s="105"/>
      <c r="I37" s="105"/>
      <c r="J37" s="105"/>
      <c r="K37" s="105"/>
      <c r="L37" s="105"/>
      <c r="M37" s="106"/>
      <c r="N37" s="67">
        <f t="shared" si="0"/>
        <v>0</v>
      </c>
      <c r="O37" s="67">
        <f t="shared" si="1"/>
        <v>0</v>
      </c>
      <c r="P37" s="100"/>
      <c r="Q37" s="101"/>
      <c r="R37" s="101"/>
      <c r="S37" s="101"/>
      <c r="T37" s="101"/>
      <c r="U37" s="101"/>
      <c r="V37" s="102"/>
      <c r="W37" s="166"/>
    </row>
    <row r="38" spans="1:23" ht="26.25" customHeight="1" x14ac:dyDescent="0.45">
      <c r="A38" s="244"/>
      <c r="B38" s="244"/>
      <c r="C38" s="241"/>
      <c r="D38" s="215"/>
      <c r="E38" s="202"/>
      <c r="F38" s="45" t="s">
        <v>385</v>
      </c>
      <c r="G38" s="104"/>
      <c r="H38" s="105"/>
      <c r="I38" s="105"/>
      <c r="J38" s="105"/>
      <c r="K38" s="105"/>
      <c r="L38" s="105"/>
      <c r="M38" s="106"/>
      <c r="N38" s="67">
        <f t="shared" si="0"/>
        <v>0</v>
      </c>
      <c r="O38" s="67">
        <f t="shared" si="1"/>
        <v>0</v>
      </c>
      <c r="P38" s="100"/>
      <c r="Q38" s="101"/>
      <c r="R38" s="101"/>
      <c r="S38" s="101"/>
      <c r="T38" s="101"/>
      <c r="U38" s="101"/>
      <c r="V38" s="102"/>
      <c r="W38" s="166"/>
    </row>
    <row r="39" spans="1:23" ht="26.25" customHeight="1" x14ac:dyDescent="0.45">
      <c r="A39" s="244"/>
      <c r="B39" s="244"/>
      <c r="C39" s="241"/>
      <c r="D39" s="215"/>
      <c r="E39" s="203" t="s">
        <v>244</v>
      </c>
      <c r="F39" s="45" t="s">
        <v>386</v>
      </c>
      <c r="G39" s="104"/>
      <c r="H39" s="105"/>
      <c r="I39" s="105"/>
      <c r="J39" s="105"/>
      <c r="K39" s="105"/>
      <c r="L39" s="105"/>
      <c r="M39" s="106"/>
      <c r="N39" s="67">
        <f t="shared" si="0"/>
        <v>0</v>
      </c>
      <c r="O39" s="67">
        <f t="shared" si="1"/>
        <v>0</v>
      </c>
      <c r="P39" s="100"/>
      <c r="Q39" s="101"/>
      <c r="R39" s="101"/>
      <c r="S39" s="101"/>
      <c r="T39" s="101"/>
      <c r="U39" s="101"/>
      <c r="V39" s="102"/>
      <c r="W39" s="166"/>
    </row>
    <row r="40" spans="1:23" ht="26.25" customHeight="1" x14ac:dyDescent="0.45">
      <c r="A40" s="244"/>
      <c r="B40" s="244"/>
      <c r="C40" s="241"/>
      <c r="D40" s="215"/>
      <c r="E40" s="201"/>
      <c r="F40" s="45" t="s">
        <v>387</v>
      </c>
      <c r="G40" s="104"/>
      <c r="H40" s="105"/>
      <c r="I40" s="105"/>
      <c r="J40" s="105"/>
      <c r="K40" s="105"/>
      <c r="L40" s="105"/>
      <c r="M40" s="106"/>
      <c r="N40" s="67">
        <f t="shared" si="0"/>
        <v>0</v>
      </c>
      <c r="O40" s="67">
        <f t="shared" si="1"/>
        <v>0</v>
      </c>
      <c r="P40" s="100"/>
      <c r="Q40" s="101"/>
      <c r="R40" s="101"/>
      <c r="S40" s="101"/>
      <c r="T40" s="101"/>
      <c r="U40" s="101"/>
      <c r="V40" s="102"/>
      <c r="W40" s="166"/>
    </row>
    <row r="41" spans="1:23" ht="26.25" customHeight="1" x14ac:dyDescent="0.45">
      <c r="A41" s="244"/>
      <c r="B41" s="244"/>
      <c r="C41" s="241"/>
      <c r="D41" s="215"/>
      <c r="E41" s="201"/>
      <c r="F41" s="45" t="s">
        <v>388</v>
      </c>
      <c r="G41" s="104"/>
      <c r="H41" s="105"/>
      <c r="I41" s="105"/>
      <c r="J41" s="105"/>
      <c r="K41" s="105"/>
      <c r="L41" s="105"/>
      <c r="M41" s="106"/>
      <c r="N41" s="67">
        <f t="shared" si="0"/>
        <v>0</v>
      </c>
      <c r="O41" s="67">
        <f t="shared" si="1"/>
        <v>0</v>
      </c>
      <c r="P41" s="100"/>
      <c r="Q41" s="101"/>
      <c r="R41" s="101"/>
      <c r="S41" s="101"/>
      <c r="T41" s="101"/>
      <c r="U41" s="101"/>
      <c r="V41" s="102"/>
      <c r="W41" s="166"/>
    </row>
    <row r="42" spans="1:23" ht="26.25" customHeight="1" x14ac:dyDescent="0.45">
      <c r="A42" s="244"/>
      <c r="B42" s="244"/>
      <c r="C42" s="241"/>
      <c r="D42" s="215"/>
      <c r="E42" s="201"/>
      <c r="F42" s="45" t="s">
        <v>350</v>
      </c>
      <c r="G42" s="104"/>
      <c r="H42" s="105"/>
      <c r="I42" s="105"/>
      <c r="J42" s="105"/>
      <c r="K42" s="105"/>
      <c r="L42" s="105"/>
      <c r="M42" s="106"/>
      <c r="N42" s="67">
        <f t="shared" si="0"/>
        <v>0</v>
      </c>
      <c r="O42" s="67">
        <f t="shared" si="1"/>
        <v>0</v>
      </c>
      <c r="P42" s="100"/>
      <c r="Q42" s="101"/>
      <c r="R42" s="101"/>
      <c r="S42" s="101"/>
      <c r="T42" s="101"/>
      <c r="U42" s="101"/>
      <c r="V42" s="102"/>
      <c r="W42" s="166"/>
    </row>
    <row r="43" spans="1:23" ht="39" customHeight="1" x14ac:dyDescent="0.45">
      <c r="A43" s="244"/>
      <c r="B43" s="244"/>
      <c r="C43" s="241"/>
      <c r="D43" s="215"/>
      <c r="E43" s="201"/>
      <c r="F43" s="45" t="s">
        <v>389</v>
      </c>
      <c r="G43" s="104"/>
      <c r="H43" s="105"/>
      <c r="I43" s="105"/>
      <c r="J43" s="105"/>
      <c r="K43" s="105"/>
      <c r="L43" s="105"/>
      <c r="M43" s="106"/>
      <c r="N43" s="67">
        <f t="shared" si="0"/>
        <v>0</v>
      </c>
      <c r="O43" s="67">
        <f t="shared" si="1"/>
        <v>0</v>
      </c>
      <c r="P43" s="100"/>
      <c r="Q43" s="101"/>
      <c r="R43" s="101"/>
      <c r="S43" s="101"/>
      <c r="T43" s="101"/>
      <c r="U43" s="101"/>
      <c r="V43" s="102"/>
      <c r="W43" s="166"/>
    </row>
    <row r="44" spans="1:23" ht="40.5" customHeight="1" thickBot="1" x14ac:dyDescent="0.5">
      <c r="A44" s="252"/>
      <c r="B44" s="252"/>
      <c r="C44" s="242"/>
      <c r="D44" s="259"/>
      <c r="E44" s="205"/>
      <c r="F44" s="72" t="s">
        <v>389</v>
      </c>
      <c r="G44" s="131"/>
      <c r="H44" s="132"/>
      <c r="I44" s="132"/>
      <c r="J44" s="132"/>
      <c r="K44" s="132"/>
      <c r="L44" s="132"/>
      <c r="M44" s="133"/>
      <c r="N44" s="68">
        <f t="shared" si="0"/>
        <v>0</v>
      </c>
      <c r="O44" s="68">
        <f t="shared" si="1"/>
        <v>0</v>
      </c>
      <c r="P44" s="128"/>
      <c r="Q44" s="129"/>
      <c r="R44" s="129"/>
      <c r="S44" s="129"/>
      <c r="T44" s="129"/>
      <c r="U44" s="129"/>
      <c r="V44" s="130"/>
      <c r="W44" s="167"/>
    </row>
  </sheetData>
  <mergeCells count="24">
    <mergeCell ref="P2:V2"/>
    <mergeCell ref="B2:C2"/>
    <mergeCell ref="A4:A44"/>
    <mergeCell ref="B4:B33"/>
    <mergeCell ref="C4:C33"/>
    <mergeCell ref="G2:M2"/>
    <mergeCell ref="D4:D13"/>
    <mergeCell ref="E5:E6"/>
    <mergeCell ref="E7:E8"/>
    <mergeCell ref="E9:E13"/>
    <mergeCell ref="D14:D23"/>
    <mergeCell ref="E15:E16"/>
    <mergeCell ref="E17:E18"/>
    <mergeCell ref="E19:E23"/>
    <mergeCell ref="B34:B44"/>
    <mergeCell ref="C34:C44"/>
    <mergeCell ref="D24:D33"/>
    <mergeCell ref="E25:E26"/>
    <mergeCell ref="E27:E28"/>
    <mergeCell ref="E29:E33"/>
    <mergeCell ref="D34:D44"/>
    <mergeCell ref="E35:E36"/>
    <mergeCell ref="E37:E38"/>
    <mergeCell ref="E39:E44"/>
  </mergeCells>
  <conditionalFormatting sqref="N3:O3">
    <cfRule type="iconSet" priority="4">
      <iconSet iconSet="5Quarters" showValue="0">
        <cfvo type="percent" val="0"/>
        <cfvo type="num" val="25"/>
        <cfvo type="num" val="50"/>
        <cfvo type="num" val="75"/>
        <cfvo type="num" val="98"/>
      </iconSet>
    </cfRule>
  </conditionalFormatting>
  <conditionalFormatting sqref="N4:O4">
    <cfRule type="iconSet" priority="3">
      <iconSet iconSet="3Symbols" showValue="0">
        <cfvo type="percent" val="0"/>
        <cfvo type="num" val="1"/>
        <cfvo type="num" val="2"/>
      </iconSet>
    </cfRule>
  </conditionalFormatting>
  <conditionalFormatting sqref="N5:O33">
    <cfRule type="iconSet" priority="2">
      <iconSet iconSet="3Symbols" showValue="0">
        <cfvo type="percent" val="0"/>
        <cfvo type="num" val="1"/>
        <cfvo type="num" val="2"/>
      </iconSet>
    </cfRule>
  </conditionalFormatting>
  <conditionalFormatting sqref="N34:O44">
    <cfRule type="iconSet" priority="1">
      <iconSet iconSet="3Symbols" showValue="0">
        <cfvo type="percent" val="0"/>
        <cfvo type="num" val="1"/>
        <cfvo type="num" val="2"/>
      </iconSet>
    </cfRule>
  </conditionalFormatting>
  <hyperlinks>
    <hyperlink ref="A1" location="'Agenda 2063'!A1" display="Back to Agenda 2063" xr:uid="{00000000-0004-0000-0300-000000000000}"/>
  </hyperlinks>
  <pageMargins left="0.7" right="0.7" top="0.75" bottom="0.75" header="0.3" footer="0.3"/>
  <pageSetup paperSize="9" orientation="portrait" verticalDpi="4294967293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99B3A"/>
  </sheetPr>
  <dimension ref="A1:W15"/>
  <sheetViews>
    <sheetView zoomScale="80" zoomScaleNormal="80" workbookViewId="0">
      <pane xSplit="1" ySplit="3" topLeftCell="J4" activePane="bottomRight" state="frozen"/>
      <selection pane="topRight" activeCell="B1" sqref="B1"/>
      <selection pane="bottomLeft" activeCell="A4" sqref="A4"/>
      <selection pane="bottomRight" activeCell="F14" sqref="F14:F15"/>
    </sheetView>
  </sheetViews>
  <sheetFormatPr baseColWidth="10" defaultColWidth="35" defaultRowHeight="18.5" x14ac:dyDescent="0.45"/>
  <cols>
    <col min="1" max="1" width="35.1796875" style="1" customWidth="1"/>
    <col min="2" max="2" width="61.1796875" style="1" customWidth="1"/>
    <col min="3" max="4" width="12.453125" style="1" customWidth="1"/>
    <col min="5" max="5" width="18" style="1" customWidth="1"/>
    <col min="6" max="6" width="115" style="2" customWidth="1"/>
    <col min="7" max="13" width="15.81640625" style="1" customWidth="1"/>
    <col min="14" max="14" width="4" style="3" customWidth="1"/>
    <col min="15" max="15" width="3.7265625" style="1" customWidth="1"/>
    <col min="16" max="22" width="13.7265625" style="1" customWidth="1"/>
    <col min="23" max="23" width="71.26953125" style="1" bestFit="1" customWidth="1"/>
    <col min="24" max="16384" width="35" style="1"/>
  </cols>
  <sheetData>
    <row r="1" spans="1:23" x14ac:dyDescent="0.45">
      <c r="A1" s="6" t="s">
        <v>184</v>
      </c>
    </row>
    <row r="2" spans="1:23" ht="25.5" customHeight="1" x14ac:dyDescent="0.45">
      <c r="A2" s="36" t="s">
        <v>0</v>
      </c>
      <c r="B2" s="227" t="s">
        <v>183</v>
      </c>
      <c r="C2" s="227"/>
      <c r="D2" s="36"/>
      <c r="E2" s="36"/>
      <c r="F2" s="36" t="s">
        <v>211</v>
      </c>
      <c r="G2" s="227" t="s">
        <v>212</v>
      </c>
      <c r="H2" s="227"/>
      <c r="I2" s="227"/>
      <c r="J2" s="227"/>
      <c r="K2" s="227"/>
      <c r="L2" s="227"/>
      <c r="M2" s="227"/>
      <c r="N2" s="37" t="s">
        <v>2</v>
      </c>
      <c r="O2" s="37" t="s">
        <v>209</v>
      </c>
      <c r="P2" s="227" t="s">
        <v>193</v>
      </c>
      <c r="Q2" s="227"/>
      <c r="R2" s="227"/>
      <c r="S2" s="227"/>
      <c r="T2" s="227"/>
      <c r="U2" s="227"/>
      <c r="V2" s="227"/>
      <c r="W2" s="36" t="s">
        <v>213</v>
      </c>
    </row>
    <row r="3" spans="1:23" s="43" customFormat="1" ht="43.5" customHeight="1" thickBot="1" x14ac:dyDescent="0.5">
      <c r="A3" s="38"/>
      <c r="B3" s="39"/>
      <c r="C3" s="39"/>
      <c r="D3" s="80" t="s">
        <v>210</v>
      </c>
      <c r="E3" s="81" t="s">
        <v>404</v>
      </c>
      <c r="F3" s="40" t="s">
        <v>207</v>
      </c>
      <c r="G3" s="40">
        <v>2013</v>
      </c>
      <c r="H3" s="40">
        <v>2014</v>
      </c>
      <c r="I3" s="40">
        <v>2015</v>
      </c>
      <c r="J3" s="40">
        <v>2016</v>
      </c>
      <c r="K3" s="40">
        <v>2017</v>
      </c>
      <c r="L3" s="40">
        <v>2018</v>
      </c>
      <c r="M3" s="40">
        <v>2019</v>
      </c>
      <c r="N3" s="41">
        <f>SUM(N4:N15)</f>
        <v>0</v>
      </c>
      <c r="O3" s="41">
        <f>SUM(O4:O15)</f>
        <v>0</v>
      </c>
      <c r="P3" s="40">
        <v>2013</v>
      </c>
      <c r="Q3" s="40">
        <v>2014</v>
      </c>
      <c r="R3" s="40">
        <v>2015</v>
      </c>
      <c r="S3" s="40">
        <v>2016</v>
      </c>
      <c r="T3" s="40">
        <v>2017</v>
      </c>
      <c r="U3" s="40">
        <v>2018</v>
      </c>
      <c r="V3" s="40">
        <v>2019</v>
      </c>
      <c r="W3" s="70" t="s">
        <v>214</v>
      </c>
    </row>
    <row r="4" spans="1:23" ht="19" thickTop="1" x14ac:dyDescent="0.45">
      <c r="A4" s="262" t="s">
        <v>197</v>
      </c>
      <c r="B4" s="245" t="s">
        <v>198</v>
      </c>
      <c r="C4" s="233"/>
      <c r="D4" s="265">
        <v>50</v>
      </c>
      <c r="E4" s="74" t="s">
        <v>239</v>
      </c>
      <c r="F4" s="8" t="s">
        <v>136</v>
      </c>
      <c r="G4" s="104"/>
      <c r="H4" s="105"/>
      <c r="I4" s="105"/>
      <c r="J4" s="105"/>
      <c r="K4" s="105"/>
      <c r="L4" s="105"/>
      <c r="M4" s="106"/>
      <c r="N4" s="67">
        <f t="shared" ref="N4:N15" si="0">IF(AND(G4=""),0,IF(OR(G4=""),2,3))</f>
        <v>0</v>
      </c>
      <c r="O4" s="67">
        <f t="shared" ref="O4:O15" si="1">IF(AND(M4=""),0,IF(OR(M4=""),1,2))</f>
        <v>0</v>
      </c>
      <c r="P4" s="97"/>
      <c r="Q4" s="98"/>
      <c r="R4" s="98"/>
      <c r="S4" s="98"/>
      <c r="T4" s="98"/>
      <c r="U4" s="98"/>
      <c r="V4" s="99"/>
      <c r="W4" s="165"/>
    </row>
    <row r="5" spans="1:23" x14ac:dyDescent="0.45">
      <c r="A5" s="263"/>
      <c r="B5" s="236"/>
      <c r="C5" s="234"/>
      <c r="D5" s="266"/>
      <c r="E5" s="266" t="s">
        <v>243</v>
      </c>
      <c r="F5" s="45" t="s">
        <v>140</v>
      </c>
      <c r="G5" s="104"/>
      <c r="H5" s="105"/>
      <c r="I5" s="105"/>
      <c r="J5" s="105"/>
      <c r="K5" s="105"/>
      <c r="L5" s="105"/>
      <c r="M5" s="106"/>
      <c r="N5" s="67">
        <f t="shared" si="0"/>
        <v>0</v>
      </c>
      <c r="O5" s="67">
        <f t="shared" si="1"/>
        <v>0</v>
      </c>
      <c r="P5" s="100"/>
      <c r="Q5" s="101"/>
      <c r="R5" s="101"/>
      <c r="S5" s="101"/>
      <c r="T5" s="101"/>
      <c r="U5" s="101"/>
      <c r="V5" s="102"/>
      <c r="W5" s="166"/>
    </row>
    <row r="6" spans="1:23" x14ac:dyDescent="0.45">
      <c r="A6" s="263"/>
      <c r="B6" s="236"/>
      <c r="C6" s="234"/>
      <c r="D6" s="266"/>
      <c r="E6" s="266"/>
      <c r="F6" s="45" t="s">
        <v>141</v>
      </c>
      <c r="G6" s="104"/>
      <c r="H6" s="105"/>
      <c r="I6" s="105"/>
      <c r="J6" s="105"/>
      <c r="K6" s="105"/>
      <c r="L6" s="105"/>
      <c r="M6" s="106"/>
      <c r="N6" s="67">
        <f t="shared" si="0"/>
        <v>0</v>
      </c>
      <c r="O6" s="67">
        <f t="shared" si="1"/>
        <v>0</v>
      </c>
      <c r="P6" s="100"/>
      <c r="Q6" s="101"/>
      <c r="R6" s="101"/>
      <c r="S6" s="101"/>
      <c r="T6" s="101"/>
      <c r="U6" s="101"/>
      <c r="V6" s="102"/>
      <c r="W6" s="166"/>
    </row>
    <row r="7" spans="1:23" x14ac:dyDescent="0.45">
      <c r="A7" s="263"/>
      <c r="B7" s="236"/>
      <c r="C7" s="234"/>
      <c r="D7" s="266"/>
      <c r="E7" s="266" t="s">
        <v>393</v>
      </c>
      <c r="F7" s="45" t="s">
        <v>142</v>
      </c>
      <c r="G7" s="104"/>
      <c r="H7" s="105"/>
      <c r="I7" s="105"/>
      <c r="J7" s="105"/>
      <c r="K7" s="105"/>
      <c r="L7" s="105"/>
      <c r="M7" s="106"/>
      <c r="N7" s="67">
        <f t="shared" si="0"/>
        <v>0</v>
      </c>
      <c r="O7" s="67">
        <f t="shared" si="1"/>
        <v>0</v>
      </c>
      <c r="P7" s="100"/>
      <c r="Q7" s="101"/>
      <c r="R7" s="101"/>
      <c r="S7" s="101"/>
      <c r="T7" s="101"/>
      <c r="U7" s="101"/>
      <c r="V7" s="102"/>
      <c r="W7" s="166"/>
    </row>
    <row r="8" spans="1:23" x14ac:dyDescent="0.45">
      <c r="A8" s="263"/>
      <c r="B8" s="236"/>
      <c r="C8" s="234"/>
      <c r="D8" s="266"/>
      <c r="E8" s="266"/>
      <c r="F8" s="45" t="s">
        <v>143</v>
      </c>
      <c r="G8" s="104"/>
      <c r="H8" s="105"/>
      <c r="I8" s="105"/>
      <c r="J8" s="105"/>
      <c r="K8" s="105"/>
      <c r="L8" s="105"/>
      <c r="M8" s="106"/>
      <c r="N8" s="67">
        <f t="shared" si="0"/>
        <v>0</v>
      </c>
      <c r="O8" s="67">
        <f t="shared" si="1"/>
        <v>0</v>
      </c>
      <c r="P8" s="100"/>
      <c r="Q8" s="101"/>
      <c r="R8" s="101"/>
      <c r="S8" s="101"/>
      <c r="T8" s="101"/>
      <c r="U8" s="101"/>
      <c r="V8" s="102"/>
      <c r="W8" s="166"/>
    </row>
    <row r="9" spans="1:23" x14ac:dyDescent="0.45">
      <c r="A9" s="263"/>
      <c r="B9" s="236"/>
      <c r="C9" s="234"/>
      <c r="D9" s="266"/>
      <c r="E9" s="266"/>
      <c r="F9" s="45" t="s">
        <v>144</v>
      </c>
      <c r="G9" s="104"/>
      <c r="H9" s="105"/>
      <c r="I9" s="105"/>
      <c r="J9" s="105"/>
      <c r="K9" s="105"/>
      <c r="L9" s="105"/>
      <c r="M9" s="106"/>
      <c r="N9" s="67">
        <f t="shared" si="0"/>
        <v>0</v>
      </c>
      <c r="O9" s="67">
        <f t="shared" si="1"/>
        <v>0</v>
      </c>
      <c r="P9" s="100"/>
      <c r="Q9" s="101"/>
      <c r="R9" s="101"/>
      <c r="S9" s="101"/>
      <c r="T9" s="101"/>
      <c r="U9" s="101"/>
      <c r="V9" s="102"/>
      <c r="W9" s="166"/>
    </row>
    <row r="10" spans="1:23" x14ac:dyDescent="0.45">
      <c r="A10" s="263"/>
      <c r="B10" s="236"/>
      <c r="C10" s="234"/>
      <c r="D10" s="266"/>
      <c r="E10" s="266" t="s">
        <v>392</v>
      </c>
      <c r="F10" s="45" t="s">
        <v>145</v>
      </c>
      <c r="G10" s="104"/>
      <c r="H10" s="105"/>
      <c r="I10" s="105"/>
      <c r="J10" s="105"/>
      <c r="K10" s="105"/>
      <c r="L10" s="105"/>
      <c r="M10" s="106"/>
      <c r="N10" s="67">
        <f t="shared" si="0"/>
        <v>0</v>
      </c>
      <c r="O10" s="67">
        <f t="shared" si="1"/>
        <v>0</v>
      </c>
      <c r="P10" s="100"/>
      <c r="Q10" s="101"/>
      <c r="R10" s="101"/>
      <c r="S10" s="101"/>
      <c r="T10" s="101"/>
      <c r="U10" s="101"/>
      <c r="V10" s="102"/>
      <c r="W10" s="166"/>
    </row>
    <row r="11" spans="1:23" x14ac:dyDescent="0.45">
      <c r="A11" s="263"/>
      <c r="B11" s="236"/>
      <c r="C11" s="234"/>
      <c r="D11" s="266"/>
      <c r="E11" s="266"/>
      <c r="F11" s="45" t="s">
        <v>146</v>
      </c>
      <c r="G11" s="104"/>
      <c r="H11" s="105"/>
      <c r="I11" s="105"/>
      <c r="J11" s="105"/>
      <c r="K11" s="105"/>
      <c r="L11" s="105"/>
      <c r="M11" s="106"/>
      <c r="N11" s="67">
        <f t="shared" si="0"/>
        <v>0</v>
      </c>
      <c r="O11" s="67">
        <f t="shared" si="1"/>
        <v>0</v>
      </c>
      <c r="P11" s="100"/>
      <c r="Q11" s="101"/>
      <c r="R11" s="101"/>
      <c r="S11" s="101"/>
      <c r="T11" s="101"/>
      <c r="U11" s="101"/>
      <c r="V11" s="102"/>
      <c r="W11" s="166"/>
    </row>
    <row r="12" spans="1:23" ht="19" thickBot="1" x14ac:dyDescent="0.5">
      <c r="A12" s="263"/>
      <c r="B12" s="236"/>
      <c r="C12" s="234"/>
      <c r="D12" s="266"/>
      <c r="E12" s="266"/>
      <c r="F12" s="76" t="s">
        <v>147</v>
      </c>
      <c r="G12" s="134"/>
      <c r="H12" s="135"/>
      <c r="I12" s="135"/>
      <c r="J12" s="135"/>
      <c r="K12" s="135"/>
      <c r="L12" s="135"/>
      <c r="M12" s="136"/>
      <c r="N12" s="67">
        <f t="shared" si="0"/>
        <v>0</v>
      </c>
      <c r="O12" s="67">
        <f t="shared" si="1"/>
        <v>0</v>
      </c>
      <c r="P12" s="137"/>
      <c r="Q12" s="138"/>
      <c r="R12" s="138"/>
      <c r="S12" s="138"/>
      <c r="T12" s="138"/>
      <c r="U12" s="138"/>
      <c r="V12" s="139"/>
      <c r="W12" s="177"/>
    </row>
    <row r="13" spans="1:23" ht="47.25" customHeight="1" thickBot="1" x14ac:dyDescent="0.5">
      <c r="A13" s="263"/>
      <c r="B13" s="5" t="s">
        <v>199</v>
      </c>
      <c r="C13" s="77"/>
      <c r="D13" s="77">
        <v>51</v>
      </c>
      <c r="E13" s="77" t="s">
        <v>239</v>
      </c>
      <c r="F13" s="78" t="s">
        <v>137</v>
      </c>
      <c r="G13" s="122"/>
      <c r="H13" s="123"/>
      <c r="I13" s="123"/>
      <c r="J13" s="123"/>
      <c r="K13" s="123"/>
      <c r="L13" s="123"/>
      <c r="M13" s="124"/>
      <c r="N13" s="67">
        <f t="shared" si="0"/>
        <v>0</v>
      </c>
      <c r="O13" s="67">
        <f t="shared" si="1"/>
        <v>0</v>
      </c>
      <c r="P13" s="140"/>
      <c r="Q13" s="141"/>
      <c r="R13" s="141"/>
      <c r="S13" s="141"/>
      <c r="T13" s="141"/>
      <c r="U13" s="141"/>
      <c r="V13" s="142"/>
      <c r="W13" s="178"/>
    </row>
    <row r="14" spans="1:23" ht="32.25" customHeight="1" x14ac:dyDescent="0.45">
      <c r="A14" s="263"/>
      <c r="B14" s="245" t="s">
        <v>200</v>
      </c>
      <c r="C14" s="233"/>
      <c r="D14" s="20" t="s">
        <v>407</v>
      </c>
      <c r="E14" s="20" t="s">
        <v>239</v>
      </c>
      <c r="F14" s="79" t="s">
        <v>138</v>
      </c>
      <c r="G14" s="143"/>
      <c r="H14" s="144"/>
      <c r="I14" s="144"/>
      <c r="J14" s="144"/>
      <c r="K14" s="144"/>
      <c r="L14" s="144"/>
      <c r="M14" s="145"/>
      <c r="N14" s="67">
        <f t="shared" si="0"/>
        <v>0</v>
      </c>
      <c r="O14" s="67">
        <f t="shared" si="1"/>
        <v>0</v>
      </c>
      <c r="P14" s="146"/>
      <c r="Q14" s="147"/>
      <c r="R14" s="147"/>
      <c r="S14" s="147"/>
      <c r="T14" s="147"/>
      <c r="U14" s="147"/>
      <c r="V14" s="148"/>
      <c r="W14" s="179"/>
    </row>
    <row r="15" spans="1:23" ht="53.25" customHeight="1" thickBot="1" x14ac:dyDescent="0.5">
      <c r="A15" s="264"/>
      <c r="B15" s="237"/>
      <c r="C15" s="235"/>
      <c r="D15" s="21" t="s">
        <v>408</v>
      </c>
      <c r="E15" s="75" t="s">
        <v>239</v>
      </c>
      <c r="F15" s="9" t="s">
        <v>139</v>
      </c>
      <c r="G15" s="125"/>
      <c r="H15" s="126"/>
      <c r="I15" s="126"/>
      <c r="J15" s="126"/>
      <c r="K15" s="126"/>
      <c r="L15" s="126"/>
      <c r="M15" s="149"/>
      <c r="N15" s="73">
        <f t="shared" si="0"/>
        <v>0</v>
      </c>
      <c r="O15" s="69">
        <f t="shared" si="1"/>
        <v>0</v>
      </c>
      <c r="P15" s="150"/>
      <c r="Q15" s="151"/>
      <c r="R15" s="151"/>
      <c r="S15" s="151"/>
      <c r="T15" s="151"/>
      <c r="U15" s="151"/>
      <c r="V15" s="152"/>
      <c r="W15" s="180"/>
    </row>
  </sheetData>
  <mergeCells count="12">
    <mergeCell ref="P2:V2"/>
    <mergeCell ref="A4:A15"/>
    <mergeCell ref="B2:C2"/>
    <mergeCell ref="C4:C12"/>
    <mergeCell ref="B4:B12"/>
    <mergeCell ref="G2:M2"/>
    <mergeCell ref="D4:D12"/>
    <mergeCell ref="E5:E6"/>
    <mergeCell ref="E7:E9"/>
    <mergeCell ref="E10:E12"/>
    <mergeCell ref="B14:B15"/>
    <mergeCell ref="C14:C15"/>
  </mergeCells>
  <conditionalFormatting sqref="N3:O3">
    <cfRule type="iconSet" priority="2">
      <iconSet iconSet="5Quarters" showValue="0">
        <cfvo type="percent" val="0"/>
        <cfvo type="num" val="25"/>
        <cfvo type="num" val="50"/>
        <cfvo type="num" val="75"/>
        <cfvo type="num" val="98"/>
      </iconSet>
    </cfRule>
  </conditionalFormatting>
  <conditionalFormatting sqref="N4:O15">
    <cfRule type="iconSet" priority="1">
      <iconSet iconSet="3Symbols" showValue="0">
        <cfvo type="percent" val="0"/>
        <cfvo type="num" val="1"/>
        <cfvo type="num" val="2"/>
      </iconSet>
    </cfRule>
  </conditionalFormatting>
  <hyperlinks>
    <hyperlink ref="A1" location="'Agenda 2063'!A1" display="Back to Agenda 2063" xr:uid="{00000000-0004-0000-0400-000000000000}"/>
  </hyperlinks>
  <pageMargins left="0.7" right="0.7" top="0.75" bottom="0.75" header="0.3" footer="0.3"/>
  <pageSetup paperSize="9" orientation="portrait" verticalDpi="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FF00"/>
  </sheetPr>
  <dimension ref="A1:W5"/>
  <sheetViews>
    <sheetView zoomScale="90" zoomScaleNormal="90" workbookViewId="0">
      <pane xSplit="1" ySplit="3" topLeftCell="J4" activePane="bottomRight" state="frozen"/>
      <selection pane="topRight" activeCell="B1" sqref="B1"/>
      <selection pane="bottomLeft" activeCell="A4" sqref="A4"/>
      <selection pane="bottomRight" activeCell="F4" sqref="F4:F5"/>
    </sheetView>
  </sheetViews>
  <sheetFormatPr baseColWidth="10" defaultColWidth="35" defaultRowHeight="18.5" x14ac:dyDescent="0.45"/>
  <cols>
    <col min="1" max="1" width="35.1796875" style="1" customWidth="1"/>
    <col min="2" max="2" width="61.1796875" style="1" customWidth="1"/>
    <col min="3" max="4" width="12.453125" style="1" customWidth="1"/>
    <col min="5" max="5" width="21.54296875" style="1" customWidth="1"/>
    <col min="6" max="6" width="115" style="2" customWidth="1"/>
    <col min="7" max="12" width="9.7265625" style="1" customWidth="1"/>
    <col min="13" max="13" width="9.1796875" style="1" customWidth="1"/>
    <col min="14" max="15" width="4" style="3" customWidth="1"/>
    <col min="16" max="22" width="15.1796875" style="1" customWidth="1"/>
    <col min="23" max="23" width="63.1796875" style="1" customWidth="1"/>
    <col min="24" max="16384" width="35" style="1"/>
  </cols>
  <sheetData>
    <row r="1" spans="1:23" x14ac:dyDescent="0.45">
      <c r="A1" s="6" t="s">
        <v>208</v>
      </c>
    </row>
    <row r="2" spans="1:23" ht="25.5" customHeight="1" x14ac:dyDescent="0.45">
      <c r="A2" s="36" t="s">
        <v>0</v>
      </c>
      <c r="B2" s="227" t="s">
        <v>183</v>
      </c>
      <c r="C2" s="227"/>
      <c r="D2" s="36"/>
      <c r="E2" s="36"/>
      <c r="F2" s="36" t="s">
        <v>211</v>
      </c>
      <c r="G2" s="227" t="s">
        <v>212</v>
      </c>
      <c r="H2" s="227"/>
      <c r="I2" s="227"/>
      <c r="J2" s="227"/>
      <c r="K2" s="227"/>
      <c r="L2" s="227"/>
      <c r="M2" s="227"/>
      <c r="N2" s="37" t="s">
        <v>2</v>
      </c>
      <c r="O2" s="37" t="s">
        <v>209</v>
      </c>
      <c r="P2" s="227" t="s">
        <v>193</v>
      </c>
      <c r="Q2" s="227"/>
      <c r="R2" s="227"/>
      <c r="S2" s="227"/>
      <c r="T2" s="227"/>
      <c r="U2" s="227"/>
      <c r="V2" s="227"/>
      <c r="W2" s="36" t="s">
        <v>213</v>
      </c>
    </row>
    <row r="3" spans="1:23" s="43" customFormat="1" ht="43.5" customHeight="1" thickBot="1" x14ac:dyDescent="0.5">
      <c r="A3" s="38"/>
      <c r="B3" s="39"/>
      <c r="C3" s="39"/>
      <c r="D3" s="80" t="s">
        <v>210</v>
      </c>
      <c r="E3" s="81" t="s">
        <v>404</v>
      </c>
      <c r="F3" s="40" t="s">
        <v>207</v>
      </c>
      <c r="G3" s="40">
        <v>2013</v>
      </c>
      <c r="H3" s="40">
        <v>2014</v>
      </c>
      <c r="I3" s="40">
        <v>2015</v>
      </c>
      <c r="J3" s="40">
        <v>2016</v>
      </c>
      <c r="K3" s="40">
        <v>2017</v>
      </c>
      <c r="L3" s="40">
        <v>2018</v>
      </c>
      <c r="M3" s="40">
        <v>2019</v>
      </c>
      <c r="N3" s="41">
        <f>SUM(N4:N5)</f>
        <v>0</v>
      </c>
      <c r="O3" s="41">
        <f>SUM(O4:O5)</f>
        <v>0</v>
      </c>
      <c r="P3" s="40">
        <v>2013</v>
      </c>
      <c r="Q3" s="40">
        <v>2014</v>
      </c>
      <c r="R3" s="40">
        <v>2015</v>
      </c>
      <c r="S3" s="40">
        <v>2016</v>
      </c>
      <c r="T3" s="40">
        <v>2017</v>
      </c>
      <c r="U3" s="40">
        <v>2018</v>
      </c>
      <c r="V3" s="40">
        <v>2019</v>
      </c>
      <c r="W3" s="70" t="s">
        <v>214</v>
      </c>
    </row>
    <row r="4" spans="1:23" ht="47.25" customHeight="1" thickTop="1" x14ac:dyDescent="0.45">
      <c r="A4" s="261" t="s">
        <v>394</v>
      </c>
      <c r="B4" s="261" t="s">
        <v>201</v>
      </c>
      <c r="C4" s="267"/>
      <c r="D4" s="82" t="s">
        <v>390</v>
      </c>
      <c r="E4" s="82" t="s">
        <v>239</v>
      </c>
      <c r="F4" s="8" t="s">
        <v>148</v>
      </c>
      <c r="G4" s="104"/>
      <c r="H4" s="105"/>
      <c r="I4" s="105"/>
      <c r="J4" s="105"/>
      <c r="K4" s="105"/>
      <c r="L4" s="105"/>
      <c r="M4" s="106"/>
      <c r="N4" s="67">
        <f>IF(AND(G4=""),0,IF(OR(G4=""),2,3))</f>
        <v>0</v>
      </c>
      <c r="O4" s="67">
        <f>IF(AND(M4=""),0,IF(OR(M4=""),1,2))</f>
        <v>0</v>
      </c>
      <c r="P4" s="97"/>
      <c r="Q4" s="98"/>
      <c r="R4" s="98"/>
      <c r="S4" s="98"/>
      <c r="T4" s="98"/>
      <c r="U4" s="98"/>
      <c r="V4" s="98"/>
      <c r="W4" s="165"/>
    </row>
    <row r="5" spans="1:23" ht="103.5" customHeight="1" thickBot="1" x14ac:dyDescent="0.5">
      <c r="A5" s="235"/>
      <c r="B5" s="235"/>
      <c r="C5" s="268"/>
      <c r="D5" s="83" t="s">
        <v>391</v>
      </c>
      <c r="E5" s="83" t="s">
        <v>239</v>
      </c>
      <c r="F5" s="10" t="s">
        <v>149</v>
      </c>
      <c r="G5" s="122"/>
      <c r="H5" s="123"/>
      <c r="I5" s="123"/>
      <c r="J5" s="123"/>
      <c r="K5" s="123"/>
      <c r="L5" s="123"/>
      <c r="M5" s="124"/>
      <c r="N5" s="73">
        <f>IF(AND(G5=""),0,IF(OR(G5=""),2,3))</f>
        <v>0</v>
      </c>
      <c r="O5" s="69">
        <f>IF(AND(M5=""),0,IF(OR(M5=""),1,2))</f>
        <v>0</v>
      </c>
      <c r="P5" s="128"/>
      <c r="Q5" s="129"/>
      <c r="R5" s="129"/>
      <c r="S5" s="129"/>
      <c r="T5" s="129"/>
      <c r="U5" s="129"/>
      <c r="V5" s="130"/>
      <c r="W5" s="167"/>
    </row>
  </sheetData>
  <mergeCells count="6">
    <mergeCell ref="A4:A5"/>
    <mergeCell ref="B4:B5"/>
    <mergeCell ref="P2:V2"/>
    <mergeCell ref="B2:C2"/>
    <mergeCell ref="C4:C5"/>
    <mergeCell ref="G2:M2"/>
  </mergeCells>
  <conditionalFormatting sqref="N3:O3">
    <cfRule type="iconSet" priority="3">
      <iconSet iconSet="5Quarters" showValue="0">
        <cfvo type="percent" val="0"/>
        <cfvo type="num" val="25"/>
        <cfvo type="num" val="50"/>
        <cfvo type="num" val="75"/>
        <cfvo type="num" val="98"/>
      </iconSet>
    </cfRule>
  </conditionalFormatting>
  <conditionalFormatting sqref="N4:O4">
    <cfRule type="iconSet" priority="2">
      <iconSet iconSet="3Symbols" showValue="0">
        <cfvo type="percent" val="0"/>
        <cfvo type="num" val="1"/>
        <cfvo type="num" val="2"/>
      </iconSet>
    </cfRule>
  </conditionalFormatting>
  <conditionalFormatting sqref="N5:O5">
    <cfRule type="iconSet" priority="1">
      <iconSet iconSet="3Symbols" showValue="0">
        <cfvo type="percent" val="0"/>
        <cfvo type="num" val="1"/>
        <cfvo type="num" val="2"/>
      </iconSet>
    </cfRule>
  </conditionalFormatting>
  <hyperlinks>
    <hyperlink ref="A1" location="'Agenda 2063'!A1" display="Back to Agenda 2063" xr:uid="{00000000-0004-0000-0500-000000000000}"/>
  </hyperlinks>
  <pageMargins left="0.7" right="0.7" top="0.75" bottom="0.75" header="0.3" footer="0.3"/>
  <pageSetup paperSize="9" orientation="portrait" verticalDpi="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0000"/>
  </sheetPr>
  <dimension ref="A1:W31"/>
  <sheetViews>
    <sheetView zoomScale="70" zoomScaleNormal="70" workbookViewId="0">
      <pane xSplit="1" ySplit="3" topLeftCell="J14" activePane="bottomRight" state="frozen"/>
      <selection pane="topRight" activeCell="B1" sqref="B1"/>
      <selection pane="bottomLeft" activeCell="A4" sqref="A4"/>
      <selection pane="bottomRight" activeCell="P4" sqref="P4:W31"/>
    </sheetView>
  </sheetViews>
  <sheetFormatPr baseColWidth="10" defaultColWidth="35" defaultRowHeight="18.5" x14ac:dyDescent="0.45"/>
  <cols>
    <col min="1" max="1" width="35.1796875" style="1" customWidth="1"/>
    <col min="2" max="2" width="61.1796875" style="1" customWidth="1"/>
    <col min="3" max="4" width="12.453125" style="1" customWidth="1"/>
    <col min="5" max="5" width="20" style="1" customWidth="1"/>
    <col min="6" max="6" width="115" style="2" customWidth="1"/>
    <col min="7" max="13" width="15.81640625" style="1" customWidth="1"/>
    <col min="14" max="15" width="4" style="3" customWidth="1"/>
    <col min="16" max="22" width="15.1796875" style="1" customWidth="1"/>
    <col min="23" max="23" width="68.7265625" style="1" customWidth="1"/>
    <col min="24" max="16384" width="35" style="1"/>
  </cols>
  <sheetData>
    <row r="1" spans="1:23" x14ac:dyDescent="0.45">
      <c r="A1" s="6" t="s">
        <v>184</v>
      </c>
    </row>
    <row r="2" spans="1:23" ht="25.5" customHeight="1" x14ac:dyDescent="0.45">
      <c r="A2" s="36" t="s">
        <v>0</v>
      </c>
      <c r="B2" s="227" t="s">
        <v>183</v>
      </c>
      <c r="C2" s="227"/>
      <c r="D2" s="36"/>
      <c r="E2" s="36"/>
      <c r="F2" s="36" t="s">
        <v>211</v>
      </c>
      <c r="G2" s="227" t="s">
        <v>212</v>
      </c>
      <c r="H2" s="227"/>
      <c r="I2" s="227"/>
      <c r="J2" s="227"/>
      <c r="K2" s="227"/>
      <c r="L2" s="227"/>
      <c r="M2" s="227"/>
      <c r="N2" s="37" t="s">
        <v>2</v>
      </c>
      <c r="O2" s="37" t="s">
        <v>209</v>
      </c>
      <c r="P2" s="227" t="s">
        <v>193</v>
      </c>
      <c r="Q2" s="227"/>
      <c r="R2" s="227"/>
      <c r="S2" s="227"/>
      <c r="T2" s="227"/>
      <c r="U2" s="227"/>
      <c r="V2" s="227"/>
      <c r="W2" s="36" t="s">
        <v>213</v>
      </c>
    </row>
    <row r="3" spans="1:23" s="43" customFormat="1" ht="43.5" customHeight="1" thickBot="1" x14ac:dyDescent="0.5">
      <c r="A3" s="38"/>
      <c r="B3" s="39"/>
      <c r="C3" s="39"/>
      <c r="D3" s="80" t="s">
        <v>210</v>
      </c>
      <c r="E3" s="81" t="s">
        <v>404</v>
      </c>
      <c r="F3" s="40" t="s">
        <v>207</v>
      </c>
      <c r="G3" s="40">
        <v>2013</v>
      </c>
      <c r="H3" s="40">
        <v>2014</v>
      </c>
      <c r="I3" s="40">
        <v>2015</v>
      </c>
      <c r="J3" s="40">
        <v>2016</v>
      </c>
      <c r="K3" s="40">
        <v>2017</v>
      </c>
      <c r="L3" s="40">
        <v>2018</v>
      </c>
      <c r="M3" s="40">
        <v>2019</v>
      </c>
      <c r="N3" s="41">
        <f>SUM(N4:N31)</f>
        <v>0</v>
      </c>
      <c r="O3" s="41">
        <f>SUM(O4:O31)</f>
        <v>0</v>
      </c>
      <c r="P3" s="40">
        <v>2013</v>
      </c>
      <c r="Q3" s="40">
        <v>2014</v>
      </c>
      <c r="R3" s="40">
        <v>2015</v>
      </c>
      <c r="S3" s="40">
        <v>2016</v>
      </c>
      <c r="T3" s="40">
        <v>2017</v>
      </c>
      <c r="U3" s="40">
        <v>2018</v>
      </c>
      <c r="V3" s="40">
        <v>2019</v>
      </c>
      <c r="W3" s="42" t="s">
        <v>214</v>
      </c>
    </row>
    <row r="4" spans="1:23" ht="39" customHeight="1" thickTop="1" x14ac:dyDescent="0.45">
      <c r="A4" s="243" t="s">
        <v>202</v>
      </c>
      <c r="B4" s="245" t="s">
        <v>203</v>
      </c>
      <c r="C4" s="233"/>
      <c r="D4" s="200">
        <v>54</v>
      </c>
      <c r="E4" s="200" t="s">
        <v>239</v>
      </c>
      <c r="F4" s="15" t="s">
        <v>150</v>
      </c>
      <c r="G4" s="97"/>
      <c r="H4" s="98"/>
      <c r="I4" s="98"/>
      <c r="J4" s="98"/>
      <c r="K4" s="98"/>
      <c r="L4" s="98"/>
      <c r="M4" s="99"/>
      <c r="N4" s="153">
        <f t="shared" ref="N4:N31" si="0">IF(AND(G4=""),0,IF(OR(G4=""),2,3))</f>
        <v>0</v>
      </c>
      <c r="O4" s="154">
        <f t="shared" ref="O4:O31" si="1">IF(AND(M4=""),0,IF(OR(M4=""),1,2))</f>
        <v>0</v>
      </c>
      <c r="P4" s="97"/>
      <c r="Q4" s="98"/>
      <c r="R4" s="98"/>
      <c r="S4" s="98"/>
      <c r="T4" s="98"/>
      <c r="U4" s="98"/>
      <c r="V4" s="98"/>
      <c r="W4" s="165"/>
    </row>
    <row r="5" spans="1:23" ht="18.75" customHeight="1" x14ac:dyDescent="0.45">
      <c r="A5" s="244"/>
      <c r="B5" s="236"/>
      <c r="C5" s="234"/>
      <c r="D5" s="201"/>
      <c r="E5" s="201"/>
      <c r="F5" s="45" t="s">
        <v>396</v>
      </c>
      <c r="G5" s="119"/>
      <c r="H5" s="120"/>
      <c r="I5" s="120"/>
      <c r="J5" s="120"/>
      <c r="K5" s="120"/>
      <c r="L5" s="120"/>
      <c r="M5" s="121"/>
      <c r="N5" s="155">
        <f t="shared" si="0"/>
        <v>0</v>
      </c>
      <c r="O5" s="156">
        <f t="shared" si="1"/>
        <v>0</v>
      </c>
      <c r="P5" s="100"/>
      <c r="Q5" s="101"/>
      <c r="R5" s="101"/>
      <c r="S5" s="101"/>
      <c r="T5" s="101"/>
      <c r="U5" s="101"/>
      <c r="V5" s="102"/>
      <c r="W5" s="166"/>
    </row>
    <row r="6" spans="1:23" ht="18" customHeight="1" x14ac:dyDescent="0.45">
      <c r="A6" s="244"/>
      <c r="B6" s="236"/>
      <c r="C6" s="234"/>
      <c r="D6" s="201"/>
      <c r="E6" s="202"/>
      <c r="F6" s="45" t="s">
        <v>157</v>
      </c>
      <c r="G6" s="119"/>
      <c r="H6" s="120"/>
      <c r="I6" s="120"/>
      <c r="J6" s="120"/>
      <c r="K6" s="120"/>
      <c r="L6" s="120"/>
      <c r="M6" s="121"/>
      <c r="N6" s="155">
        <f t="shared" si="0"/>
        <v>0</v>
      </c>
      <c r="O6" s="156">
        <f t="shared" si="1"/>
        <v>0</v>
      </c>
      <c r="P6" s="100"/>
      <c r="Q6" s="101"/>
      <c r="R6" s="101"/>
      <c r="S6" s="101"/>
      <c r="T6" s="101"/>
      <c r="U6" s="101"/>
      <c r="V6" s="102"/>
      <c r="W6" s="166"/>
    </row>
    <row r="7" spans="1:23" ht="35.25" customHeight="1" x14ac:dyDescent="0.45">
      <c r="A7" s="244"/>
      <c r="B7" s="236"/>
      <c r="C7" s="234"/>
      <c r="D7" s="201"/>
      <c r="E7" s="203" t="s">
        <v>243</v>
      </c>
      <c r="F7" s="19" t="s">
        <v>151</v>
      </c>
      <c r="G7" s="119"/>
      <c r="H7" s="120"/>
      <c r="I7" s="120"/>
      <c r="J7" s="120"/>
      <c r="K7" s="120"/>
      <c r="L7" s="120"/>
      <c r="M7" s="121"/>
      <c r="N7" s="155">
        <f t="shared" si="0"/>
        <v>0</v>
      </c>
      <c r="O7" s="156">
        <f t="shared" si="1"/>
        <v>0</v>
      </c>
      <c r="P7" s="100"/>
      <c r="Q7" s="101"/>
      <c r="R7" s="101"/>
      <c r="S7" s="101"/>
      <c r="T7" s="101"/>
      <c r="U7" s="101"/>
      <c r="V7" s="102"/>
      <c r="W7" s="166"/>
    </row>
    <row r="8" spans="1:23" ht="42" customHeight="1" x14ac:dyDescent="0.45">
      <c r="A8" s="244"/>
      <c r="B8" s="236"/>
      <c r="C8" s="234"/>
      <c r="D8" s="201"/>
      <c r="E8" s="201"/>
      <c r="F8" s="45" t="s">
        <v>398</v>
      </c>
      <c r="G8" s="119"/>
      <c r="H8" s="120"/>
      <c r="I8" s="120"/>
      <c r="J8" s="120"/>
      <c r="K8" s="120"/>
      <c r="L8" s="120"/>
      <c r="M8" s="121"/>
      <c r="N8" s="155">
        <f t="shared" si="0"/>
        <v>0</v>
      </c>
      <c r="O8" s="156">
        <f t="shared" si="1"/>
        <v>0</v>
      </c>
      <c r="P8" s="100"/>
      <c r="Q8" s="101"/>
      <c r="R8" s="101"/>
      <c r="S8" s="101"/>
      <c r="T8" s="101"/>
      <c r="U8" s="101"/>
      <c r="V8" s="102"/>
      <c r="W8" s="166"/>
    </row>
    <row r="9" spans="1:23" ht="18.75" customHeight="1" x14ac:dyDescent="0.45">
      <c r="A9" s="244"/>
      <c r="B9" s="236"/>
      <c r="C9" s="234"/>
      <c r="D9" s="201"/>
      <c r="E9" s="201"/>
      <c r="F9" s="45" t="s">
        <v>397</v>
      </c>
      <c r="G9" s="119"/>
      <c r="H9" s="120"/>
      <c r="I9" s="120"/>
      <c r="J9" s="120"/>
      <c r="K9" s="120"/>
      <c r="L9" s="120"/>
      <c r="M9" s="121"/>
      <c r="N9" s="155">
        <f t="shared" si="0"/>
        <v>0</v>
      </c>
      <c r="O9" s="156">
        <f t="shared" si="1"/>
        <v>0</v>
      </c>
      <c r="P9" s="100"/>
      <c r="Q9" s="101"/>
      <c r="R9" s="101"/>
      <c r="S9" s="101"/>
      <c r="T9" s="101"/>
      <c r="U9" s="101"/>
      <c r="V9" s="102"/>
      <c r="W9" s="166"/>
    </row>
    <row r="10" spans="1:23" ht="36.75" customHeight="1" x14ac:dyDescent="0.45">
      <c r="A10" s="244"/>
      <c r="B10" s="236"/>
      <c r="C10" s="234"/>
      <c r="D10" s="201"/>
      <c r="E10" s="201"/>
      <c r="F10" s="19" t="s">
        <v>152</v>
      </c>
      <c r="G10" s="119"/>
      <c r="H10" s="120"/>
      <c r="I10" s="120"/>
      <c r="J10" s="120"/>
      <c r="K10" s="120"/>
      <c r="L10" s="120"/>
      <c r="M10" s="121"/>
      <c r="N10" s="155">
        <f t="shared" si="0"/>
        <v>0</v>
      </c>
      <c r="O10" s="156">
        <f t="shared" si="1"/>
        <v>0</v>
      </c>
      <c r="P10" s="100"/>
      <c r="Q10" s="101"/>
      <c r="R10" s="101"/>
      <c r="S10" s="101"/>
      <c r="T10" s="101"/>
      <c r="U10" s="101"/>
      <c r="V10" s="102"/>
      <c r="W10" s="166"/>
    </row>
    <row r="11" spans="1:23" ht="33.75" customHeight="1" x14ac:dyDescent="0.45">
      <c r="A11" s="244"/>
      <c r="B11" s="236"/>
      <c r="C11" s="234"/>
      <c r="D11" s="201"/>
      <c r="E11" s="201"/>
      <c r="F11" s="45" t="s">
        <v>399</v>
      </c>
      <c r="G11" s="119"/>
      <c r="H11" s="120"/>
      <c r="I11" s="120"/>
      <c r="J11" s="120"/>
      <c r="K11" s="120"/>
      <c r="L11" s="120"/>
      <c r="M11" s="121"/>
      <c r="N11" s="155">
        <f t="shared" si="0"/>
        <v>0</v>
      </c>
      <c r="O11" s="156">
        <f t="shared" si="1"/>
        <v>0</v>
      </c>
      <c r="P11" s="100"/>
      <c r="Q11" s="101"/>
      <c r="R11" s="101"/>
      <c r="S11" s="101"/>
      <c r="T11" s="101"/>
      <c r="U11" s="101"/>
      <c r="V11" s="102"/>
      <c r="W11" s="166"/>
    </row>
    <row r="12" spans="1:23" ht="18.75" customHeight="1" x14ac:dyDescent="0.45">
      <c r="A12" s="244"/>
      <c r="B12" s="236"/>
      <c r="C12" s="234"/>
      <c r="D12" s="202"/>
      <c r="E12" s="202"/>
      <c r="F12" s="45" t="s">
        <v>400</v>
      </c>
      <c r="G12" s="119"/>
      <c r="H12" s="120"/>
      <c r="I12" s="120"/>
      <c r="J12" s="120"/>
      <c r="K12" s="120"/>
      <c r="L12" s="120"/>
      <c r="M12" s="121"/>
      <c r="N12" s="155">
        <f t="shared" si="0"/>
        <v>0</v>
      </c>
      <c r="O12" s="156">
        <f t="shared" si="1"/>
        <v>0</v>
      </c>
      <c r="P12" s="100"/>
      <c r="Q12" s="101"/>
      <c r="R12" s="101"/>
      <c r="S12" s="101"/>
      <c r="T12" s="101"/>
      <c r="U12" s="101"/>
      <c r="V12" s="102"/>
      <c r="W12" s="166"/>
    </row>
    <row r="13" spans="1:23" ht="37" x14ac:dyDescent="0.45">
      <c r="A13" s="244"/>
      <c r="B13" s="236"/>
      <c r="C13" s="234"/>
      <c r="D13" s="203">
        <v>55</v>
      </c>
      <c r="E13" s="203" t="s">
        <v>401</v>
      </c>
      <c r="F13" s="16" t="s">
        <v>153</v>
      </c>
      <c r="G13" s="104"/>
      <c r="H13" s="105"/>
      <c r="I13" s="105"/>
      <c r="J13" s="105"/>
      <c r="K13" s="105"/>
      <c r="L13" s="105"/>
      <c r="M13" s="106"/>
      <c r="N13" s="155">
        <f t="shared" si="0"/>
        <v>0</v>
      </c>
      <c r="O13" s="156">
        <f t="shared" si="1"/>
        <v>0</v>
      </c>
      <c r="P13" s="100"/>
      <c r="Q13" s="101"/>
      <c r="R13" s="101"/>
      <c r="S13" s="101"/>
      <c r="T13" s="101"/>
      <c r="U13" s="101"/>
      <c r="V13" s="102"/>
      <c r="W13" s="166"/>
    </row>
    <row r="14" spans="1:23" x14ac:dyDescent="0.45">
      <c r="A14" s="244"/>
      <c r="B14" s="236"/>
      <c r="C14" s="234"/>
      <c r="D14" s="201"/>
      <c r="E14" s="201"/>
      <c r="F14" s="45" t="s">
        <v>158</v>
      </c>
      <c r="G14" s="104"/>
      <c r="H14" s="105"/>
      <c r="I14" s="105"/>
      <c r="J14" s="105"/>
      <c r="K14" s="105"/>
      <c r="L14" s="105"/>
      <c r="M14" s="106"/>
      <c r="N14" s="155">
        <f t="shared" si="0"/>
        <v>0</v>
      </c>
      <c r="O14" s="156">
        <f t="shared" si="1"/>
        <v>0</v>
      </c>
      <c r="P14" s="100"/>
      <c r="Q14" s="101"/>
      <c r="R14" s="101"/>
      <c r="S14" s="101"/>
      <c r="T14" s="101"/>
      <c r="U14" s="101"/>
      <c r="V14" s="102"/>
      <c r="W14" s="166"/>
    </row>
    <row r="15" spans="1:23" x14ac:dyDescent="0.45">
      <c r="A15" s="244"/>
      <c r="B15" s="236"/>
      <c r="C15" s="234"/>
      <c r="D15" s="202"/>
      <c r="E15" s="202"/>
      <c r="F15" s="45" t="s">
        <v>159</v>
      </c>
      <c r="G15" s="104"/>
      <c r="H15" s="105"/>
      <c r="I15" s="105"/>
      <c r="J15" s="105"/>
      <c r="K15" s="105"/>
      <c r="L15" s="105"/>
      <c r="M15" s="106"/>
      <c r="N15" s="155">
        <f t="shared" si="0"/>
        <v>0</v>
      </c>
      <c r="O15" s="156">
        <f t="shared" si="1"/>
        <v>0</v>
      </c>
      <c r="P15" s="100"/>
      <c r="Q15" s="101"/>
      <c r="R15" s="101"/>
      <c r="S15" s="101"/>
      <c r="T15" s="101"/>
      <c r="U15" s="101"/>
      <c r="V15" s="102"/>
      <c r="W15" s="166"/>
    </row>
    <row r="16" spans="1:23" x14ac:dyDescent="0.45">
      <c r="A16" s="244"/>
      <c r="B16" s="236"/>
      <c r="C16" s="234"/>
      <c r="D16" s="203">
        <v>56</v>
      </c>
      <c r="E16" s="203" t="s">
        <v>402</v>
      </c>
      <c r="F16" s="16" t="s">
        <v>154</v>
      </c>
      <c r="G16" s="104"/>
      <c r="H16" s="105"/>
      <c r="I16" s="105"/>
      <c r="J16" s="105"/>
      <c r="K16" s="105"/>
      <c r="L16" s="105"/>
      <c r="M16" s="106"/>
      <c r="N16" s="155">
        <f t="shared" si="0"/>
        <v>0</v>
      </c>
      <c r="O16" s="156">
        <f t="shared" si="1"/>
        <v>0</v>
      </c>
      <c r="P16" s="100"/>
      <c r="Q16" s="101"/>
      <c r="R16" s="101"/>
      <c r="S16" s="101"/>
      <c r="T16" s="101"/>
      <c r="U16" s="101"/>
      <c r="V16" s="102"/>
      <c r="W16" s="166"/>
    </row>
    <row r="17" spans="1:23" x14ac:dyDescent="0.45">
      <c r="A17" s="244"/>
      <c r="B17" s="236"/>
      <c r="C17" s="234"/>
      <c r="D17" s="201"/>
      <c r="E17" s="201"/>
      <c r="F17" s="45" t="s">
        <v>160</v>
      </c>
      <c r="G17" s="104"/>
      <c r="H17" s="105"/>
      <c r="I17" s="105"/>
      <c r="J17" s="105"/>
      <c r="K17" s="105"/>
      <c r="L17" s="105"/>
      <c r="M17" s="106"/>
      <c r="N17" s="155">
        <f t="shared" si="0"/>
        <v>0</v>
      </c>
      <c r="O17" s="156">
        <f t="shared" si="1"/>
        <v>0</v>
      </c>
      <c r="P17" s="100"/>
      <c r="Q17" s="101"/>
      <c r="R17" s="101"/>
      <c r="S17" s="101"/>
      <c r="T17" s="101"/>
      <c r="U17" s="101"/>
      <c r="V17" s="102"/>
      <c r="W17" s="166"/>
    </row>
    <row r="18" spans="1:23" ht="37" x14ac:dyDescent="0.45">
      <c r="A18" s="244"/>
      <c r="B18" s="236"/>
      <c r="C18" s="234"/>
      <c r="D18" s="202"/>
      <c r="E18" s="202"/>
      <c r="F18" s="45" t="s">
        <v>161</v>
      </c>
      <c r="G18" s="104"/>
      <c r="H18" s="105"/>
      <c r="I18" s="105"/>
      <c r="J18" s="105"/>
      <c r="K18" s="105"/>
      <c r="L18" s="105"/>
      <c r="M18" s="106"/>
      <c r="N18" s="155">
        <f t="shared" si="0"/>
        <v>0</v>
      </c>
      <c r="O18" s="156">
        <f t="shared" si="1"/>
        <v>0</v>
      </c>
      <c r="P18" s="100"/>
      <c r="Q18" s="101"/>
      <c r="R18" s="101"/>
      <c r="S18" s="101"/>
      <c r="T18" s="101"/>
      <c r="U18" s="101"/>
      <c r="V18" s="102"/>
      <c r="W18" s="166"/>
    </row>
    <row r="19" spans="1:23" ht="37" x14ac:dyDescent="0.45">
      <c r="A19" s="244"/>
      <c r="B19" s="236"/>
      <c r="C19" s="234"/>
      <c r="D19" s="203">
        <v>57</v>
      </c>
      <c r="E19" s="203" t="s">
        <v>403</v>
      </c>
      <c r="F19" s="16" t="s">
        <v>155</v>
      </c>
      <c r="G19" s="104"/>
      <c r="H19" s="105"/>
      <c r="I19" s="105"/>
      <c r="J19" s="105"/>
      <c r="K19" s="105"/>
      <c r="L19" s="105"/>
      <c r="M19" s="106"/>
      <c r="N19" s="155">
        <f t="shared" si="0"/>
        <v>0</v>
      </c>
      <c r="O19" s="156">
        <f t="shared" si="1"/>
        <v>0</v>
      </c>
      <c r="P19" s="100"/>
      <c r="Q19" s="101"/>
      <c r="R19" s="101"/>
      <c r="S19" s="101"/>
      <c r="T19" s="101"/>
      <c r="U19" s="100"/>
      <c r="V19" s="102"/>
      <c r="W19" s="166"/>
    </row>
    <row r="20" spans="1:23" ht="37" x14ac:dyDescent="0.45">
      <c r="A20" s="244"/>
      <c r="B20" s="236"/>
      <c r="C20" s="234"/>
      <c r="D20" s="201"/>
      <c r="E20" s="201"/>
      <c r="F20" s="45" t="s">
        <v>163</v>
      </c>
      <c r="G20" s="104"/>
      <c r="H20" s="105"/>
      <c r="I20" s="105"/>
      <c r="J20" s="105"/>
      <c r="K20" s="105"/>
      <c r="L20" s="105"/>
      <c r="M20" s="106"/>
      <c r="N20" s="155">
        <f t="shared" si="0"/>
        <v>0</v>
      </c>
      <c r="O20" s="156">
        <f t="shared" si="1"/>
        <v>0</v>
      </c>
      <c r="P20" s="100"/>
      <c r="Q20" s="101"/>
      <c r="R20" s="101"/>
      <c r="S20" s="101"/>
      <c r="T20" s="101"/>
      <c r="U20" s="101"/>
      <c r="V20" s="102"/>
      <c r="W20" s="166"/>
    </row>
    <row r="21" spans="1:23" ht="37" x14ac:dyDescent="0.45">
      <c r="A21" s="244"/>
      <c r="B21" s="236"/>
      <c r="C21" s="234"/>
      <c r="D21" s="201"/>
      <c r="E21" s="201"/>
      <c r="F21" s="45" t="s">
        <v>162</v>
      </c>
      <c r="G21" s="104"/>
      <c r="H21" s="105"/>
      <c r="I21" s="105"/>
      <c r="J21" s="105"/>
      <c r="K21" s="105"/>
      <c r="L21" s="105"/>
      <c r="M21" s="106"/>
      <c r="N21" s="155">
        <f t="shared" si="0"/>
        <v>0</v>
      </c>
      <c r="O21" s="156">
        <f t="shared" si="1"/>
        <v>0</v>
      </c>
      <c r="P21" s="100"/>
      <c r="Q21" s="101"/>
      <c r="R21" s="101"/>
      <c r="S21" s="101"/>
      <c r="T21" s="101"/>
      <c r="U21" s="101"/>
      <c r="V21" s="102"/>
      <c r="W21" s="166"/>
    </row>
    <row r="22" spans="1:23" ht="37" x14ac:dyDescent="0.45">
      <c r="A22" s="244"/>
      <c r="B22" s="236"/>
      <c r="C22" s="234"/>
      <c r="D22" s="202"/>
      <c r="E22" s="202"/>
      <c r="F22" s="45" t="s">
        <v>164</v>
      </c>
      <c r="G22" s="104"/>
      <c r="H22" s="105"/>
      <c r="I22" s="105"/>
      <c r="J22" s="105"/>
      <c r="K22" s="105"/>
      <c r="L22" s="105"/>
      <c r="M22" s="106"/>
      <c r="N22" s="155">
        <f t="shared" si="0"/>
        <v>0</v>
      </c>
      <c r="O22" s="156">
        <f t="shared" si="1"/>
        <v>0</v>
      </c>
      <c r="P22" s="100"/>
      <c r="Q22" s="101"/>
      <c r="R22" s="101"/>
      <c r="S22" s="101"/>
      <c r="T22" s="101"/>
      <c r="U22" s="101"/>
      <c r="V22" s="102"/>
      <c r="W22" s="166"/>
    </row>
    <row r="23" spans="1:23" ht="29.25" customHeight="1" thickBot="1" x14ac:dyDescent="0.5">
      <c r="A23" s="244"/>
      <c r="B23" s="236"/>
      <c r="C23" s="234"/>
      <c r="D23" s="59">
        <v>58</v>
      </c>
      <c r="E23" s="59" t="s">
        <v>239</v>
      </c>
      <c r="F23" s="18" t="s">
        <v>156</v>
      </c>
      <c r="G23" s="104"/>
      <c r="H23" s="105"/>
      <c r="I23" s="185"/>
      <c r="J23" s="185"/>
      <c r="K23" s="185"/>
      <c r="L23" s="185"/>
      <c r="M23" s="106"/>
      <c r="N23" s="155">
        <f t="shared" si="0"/>
        <v>0</v>
      </c>
      <c r="O23" s="156">
        <f t="shared" si="1"/>
        <v>0</v>
      </c>
      <c r="P23" s="157"/>
      <c r="Q23" s="158"/>
      <c r="R23" s="158"/>
      <c r="S23" s="158"/>
      <c r="T23" s="158"/>
      <c r="U23" s="158"/>
      <c r="V23" s="159"/>
      <c r="W23" s="181"/>
    </row>
    <row r="24" spans="1:23" ht="37.5" customHeight="1" x14ac:dyDescent="0.45">
      <c r="A24" s="244"/>
      <c r="B24" s="245" t="s">
        <v>395</v>
      </c>
      <c r="C24" s="238"/>
      <c r="D24" s="269" t="s">
        <v>409</v>
      </c>
      <c r="E24" s="269" t="s">
        <v>239</v>
      </c>
      <c r="F24" s="15" t="s">
        <v>167</v>
      </c>
      <c r="G24" s="104"/>
      <c r="H24" s="105"/>
      <c r="I24" s="105"/>
      <c r="J24" s="105"/>
      <c r="K24" s="105"/>
      <c r="L24" s="105"/>
      <c r="M24" s="106"/>
      <c r="N24" s="155">
        <f t="shared" si="0"/>
        <v>0</v>
      </c>
      <c r="O24" s="156">
        <f t="shared" si="1"/>
        <v>0</v>
      </c>
      <c r="P24" s="100"/>
      <c r="Q24" s="101"/>
      <c r="R24" s="101"/>
      <c r="S24" s="101"/>
      <c r="T24" s="101"/>
      <c r="U24" s="101"/>
      <c r="V24" s="102"/>
      <c r="W24" s="166"/>
    </row>
    <row r="25" spans="1:23" x14ac:dyDescent="0.45">
      <c r="A25" s="244"/>
      <c r="B25" s="236"/>
      <c r="C25" s="239"/>
      <c r="D25" s="270"/>
      <c r="E25" s="270"/>
      <c r="F25" s="45" t="s">
        <v>168</v>
      </c>
      <c r="G25" s="104"/>
      <c r="H25" s="105"/>
      <c r="I25" s="105"/>
      <c r="J25" s="184"/>
      <c r="K25" s="105"/>
      <c r="L25" s="105"/>
      <c r="M25" s="106"/>
      <c r="N25" s="155">
        <f t="shared" si="0"/>
        <v>0</v>
      </c>
      <c r="O25" s="156">
        <f t="shared" si="1"/>
        <v>0</v>
      </c>
      <c r="P25" s="100"/>
      <c r="Q25" s="101"/>
      <c r="R25" s="101"/>
      <c r="S25" s="101"/>
      <c r="T25" s="101"/>
      <c r="U25" s="101"/>
      <c r="V25" s="102"/>
      <c r="W25" s="166"/>
    </row>
    <row r="26" spans="1:23" x14ac:dyDescent="0.45">
      <c r="A26" s="244"/>
      <c r="B26" s="236"/>
      <c r="C26" s="239"/>
      <c r="D26" s="270"/>
      <c r="E26" s="270"/>
      <c r="F26" s="45" t="s">
        <v>169</v>
      </c>
      <c r="G26" s="104"/>
      <c r="H26" s="105"/>
      <c r="I26" s="105"/>
      <c r="J26" s="105"/>
      <c r="K26" s="105"/>
      <c r="L26" s="105"/>
      <c r="M26" s="106"/>
      <c r="N26" s="155">
        <f t="shared" si="0"/>
        <v>0</v>
      </c>
      <c r="O26" s="156">
        <f t="shared" si="1"/>
        <v>0</v>
      </c>
      <c r="P26" s="100"/>
      <c r="Q26" s="101"/>
      <c r="R26" s="101"/>
      <c r="S26" s="101"/>
      <c r="T26" s="101"/>
      <c r="U26" s="101"/>
      <c r="V26" s="102"/>
      <c r="W26" s="166"/>
    </row>
    <row r="27" spans="1:23" x14ac:dyDescent="0.45">
      <c r="A27" s="244"/>
      <c r="B27" s="236"/>
      <c r="C27" s="239"/>
      <c r="D27" s="270" t="s">
        <v>410</v>
      </c>
      <c r="E27" s="270" t="s">
        <v>239</v>
      </c>
      <c r="F27" s="16" t="s">
        <v>165</v>
      </c>
      <c r="G27" s="104"/>
      <c r="H27" s="105"/>
      <c r="I27" s="105"/>
      <c r="J27" s="105"/>
      <c r="K27" s="105"/>
      <c r="L27" s="105"/>
      <c r="M27" s="106"/>
      <c r="N27" s="155">
        <f t="shared" si="0"/>
        <v>0</v>
      </c>
      <c r="O27" s="156">
        <f t="shared" si="1"/>
        <v>0</v>
      </c>
      <c r="P27" s="100"/>
      <c r="Q27" s="101"/>
      <c r="R27" s="101"/>
      <c r="S27" s="101"/>
      <c r="T27" s="101"/>
      <c r="U27" s="100"/>
      <c r="V27" s="102"/>
      <c r="W27" s="166"/>
    </row>
    <row r="28" spans="1:23" x14ac:dyDescent="0.45">
      <c r="A28" s="244"/>
      <c r="B28" s="236"/>
      <c r="C28" s="239"/>
      <c r="D28" s="270"/>
      <c r="E28" s="270"/>
      <c r="F28" s="45" t="s">
        <v>170</v>
      </c>
      <c r="G28" s="186"/>
      <c r="H28" s="105"/>
      <c r="I28" s="105"/>
      <c r="J28" s="105"/>
      <c r="K28" s="105"/>
      <c r="L28" s="184"/>
      <c r="M28" s="106"/>
      <c r="N28" s="155">
        <f t="shared" si="0"/>
        <v>0</v>
      </c>
      <c r="O28" s="156">
        <f t="shared" si="1"/>
        <v>0</v>
      </c>
      <c r="P28" s="100"/>
      <c r="Q28" s="101"/>
      <c r="R28" s="101"/>
      <c r="S28" s="101"/>
      <c r="T28" s="101"/>
      <c r="U28" s="101"/>
      <c r="V28" s="102"/>
      <c r="W28" s="166"/>
    </row>
    <row r="29" spans="1:23" x14ac:dyDescent="0.45">
      <c r="A29" s="244"/>
      <c r="B29" s="236"/>
      <c r="C29" s="239"/>
      <c r="D29" s="270" t="s">
        <v>411</v>
      </c>
      <c r="E29" s="270" t="s">
        <v>239</v>
      </c>
      <c r="F29" s="16" t="s">
        <v>166</v>
      </c>
      <c r="G29" s="104"/>
      <c r="H29" s="105"/>
      <c r="I29" s="105"/>
      <c r="J29" s="105"/>
      <c r="K29" s="105"/>
      <c r="L29" s="105"/>
      <c r="M29" s="106"/>
      <c r="N29" s="155">
        <f t="shared" si="0"/>
        <v>0</v>
      </c>
      <c r="O29" s="156">
        <f t="shared" si="1"/>
        <v>0</v>
      </c>
      <c r="P29" s="100"/>
      <c r="Q29" s="101"/>
      <c r="R29" s="101"/>
      <c r="S29" s="101"/>
      <c r="T29" s="101"/>
      <c r="U29" s="101"/>
      <c r="V29" s="102"/>
      <c r="W29" s="166"/>
    </row>
    <row r="30" spans="1:23" x14ac:dyDescent="0.45">
      <c r="A30" s="244"/>
      <c r="B30" s="236"/>
      <c r="C30" s="239"/>
      <c r="D30" s="270"/>
      <c r="E30" s="270"/>
      <c r="F30" s="45" t="s">
        <v>171</v>
      </c>
      <c r="G30" s="104"/>
      <c r="H30" s="105"/>
      <c r="I30" s="105"/>
      <c r="J30" s="105"/>
      <c r="K30" s="105"/>
      <c r="L30" s="105"/>
      <c r="M30" s="106"/>
      <c r="N30" s="155">
        <f t="shared" si="0"/>
        <v>0</v>
      </c>
      <c r="O30" s="156">
        <f t="shared" si="1"/>
        <v>0</v>
      </c>
      <c r="P30" s="100"/>
      <c r="Q30" s="101"/>
      <c r="R30" s="101"/>
      <c r="S30" s="101"/>
      <c r="T30" s="101"/>
      <c r="U30" s="101"/>
      <c r="V30" s="102"/>
      <c r="W30" s="166"/>
    </row>
    <row r="31" spans="1:23" ht="23.25" customHeight="1" thickBot="1" x14ac:dyDescent="0.5">
      <c r="A31" s="252"/>
      <c r="B31" s="237"/>
      <c r="C31" s="268"/>
      <c r="D31" s="84">
        <v>60</v>
      </c>
      <c r="E31" s="84" t="s">
        <v>239</v>
      </c>
      <c r="F31" s="22" t="s">
        <v>172</v>
      </c>
      <c r="G31" s="125"/>
      <c r="H31" s="126"/>
      <c r="I31" s="126"/>
      <c r="J31" s="126"/>
      <c r="K31" s="126"/>
      <c r="L31" s="126"/>
      <c r="M31" s="127"/>
      <c r="N31" s="73">
        <f t="shared" si="0"/>
        <v>0</v>
      </c>
      <c r="O31" s="69">
        <f t="shared" si="1"/>
        <v>0</v>
      </c>
      <c r="P31" s="128"/>
      <c r="Q31" s="129"/>
      <c r="R31" s="129"/>
      <c r="S31" s="129"/>
      <c r="T31" s="129"/>
      <c r="U31" s="129"/>
      <c r="V31" s="130"/>
      <c r="W31" s="167"/>
    </row>
  </sheetData>
  <mergeCells count="23">
    <mergeCell ref="P2:V2"/>
    <mergeCell ref="C24:C31"/>
    <mergeCell ref="B2:C2"/>
    <mergeCell ref="D27:D28"/>
    <mergeCell ref="E27:E28"/>
    <mergeCell ref="D29:D30"/>
    <mergeCell ref="E29:E30"/>
    <mergeCell ref="A4:A31"/>
    <mergeCell ref="B4:B23"/>
    <mergeCell ref="C4:C23"/>
    <mergeCell ref="G2:M2"/>
    <mergeCell ref="B24:B31"/>
    <mergeCell ref="D4:D12"/>
    <mergeCell ref="E4:E6"/>
    <mergeCell ref="E7:E12"/>
    <mergeCell ref="D13:D15"/>
    <mergeCell ref="E13:E15"/>
    <mergeCell ref="D16:D18"/>
    <mergeCell ref="E16:E18"/>
    <mergeCell ref="D19:D22"/>
    <mergeCell ref="E19:E22"/>
    <mergeCell ref="D24:D26"/>
    <mergeCell ref="E24:E26"/>
  </mergeCells>
  <conditionalFormatting sqref="N3:O3">
    <cfRule type="iconSet" priority="2">
      <iconSet iconSet="5Quarters" showValue="0">
        <cfvo type="percent" val="0"/>
        <cfvo type="num" val="25"/>
        <cfvo type="num" val="50"/>
        <cfvo type="num" val="75"/>
        <cfvo type="num" val="98"/>
      </iconSet>
    </cfRule>
  </conditionalFormatting>
  <conditionalFormatting sqref="N4:O31">
    <cfRule type="iconSet" priority="1">
      <iconSet iconSet="3Symbols" showValue="0">
        <cfvo type="percent" val="0"/>
        <cfvo type="num" val="1"/>
        <cfvo type="num" val="2"/>
      </iconSet>
    </cfRule>
  </conditionalFormatting>
  <hyperlinks>
    <hyperlink ref="A1" location="'Agenda 2063'!A1" display="Back to Agenda 2063" xr:uid="{00000000-0004-0000-0600-000000000000}"/>
  </hyperlinks>
  <pageMargins left="0.7" right="0.7" top="0.75" bottom="0.75" header="0.3" footer="0.3"/>
  <pageSetup paperSize="9" orientation="portrait" verticalDpi="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3" tint="-0.499984740745262"/>
  </sheetPr>
  <dimension ref="A1:W13"/>
  <sheetViews>
    <sheetView tabSelected="1" zoomScale="80" zoomScaleNormal="80" workbookViewId="0">
      <pane xSplit="1" ySplit="3" topLeftCell="J4" activePane="bottomRight" state="frozen"/>
      <selection pane="topRight" activeCell="B1" sqref="B1"/>
      <selection pane="bottomLeft" activeCell="A4" sqref="A4"/>
      <selection pane="bottomRight" activeCell="R18" sqref="R18"/>
    </sheetView>
  </sheetViews>
  <sheetFormatPr baseColWidth="10" defaultColWidth="35" defaultRowHeight="18.5" x14ac:dyDescent="0.45"/>
  <cols>
    <col min="1" max="1" width="35.1796875" style="1" customWidth="1"/>
    <col min="2" max="2" width="61.1796875" style="1" customWidth="1"/>
    <col min="3" max="4" width="12.453125" style="1" customWidth="1"/>
    <col min="5" max="5" width="21" style="1" customWidth="1"/>
    <col min="6" max="6" width="115" style="2" customWidth="1"/>
    <col min="7" max="13" width="15.81640625" style="1" customWidth="1"/>
    <col min="14" max="15" width="4" style="3" customWidth="1"/>
    <col min="16" max="22" width="15.1796875" style="1" customWidth="1"/>
    <col min="23" max="23" width="61.54296875" style="1" customWidth="1"/>
    <col min="24" max="16384" width="35" style="1"/>
  </cols>
  <sheetData>
    <row r="1" spans="1:23" x14ac:dyDescent="0.45">
      <c r="A1" s="6" t="s">
        <v>208</v>
      </c>
    </row>
    <row r="2" spans="1:23" ht="25.5" customHeight="1" x14ac:dyDescent="0.45">
      <c r="A2" s="36" t="s">
        <v>0</v>
      </c>
      <c r="B2" s="227" t="s">
        <v>183</v>
      </c>
      <c r="C2" s="227"/>
      <c r="D2" s="36"/>
      <c r="E2" s="36"/>
      <c r="F2" s="36" t="s">
        <v>211</v>
      </c>
      <c r="G2" s="227" t="s">
        <v>212</v>
      </c>
      <c r="H2" s="227"/>
      <c r="I2" s="227"/>
      <c r="J2" s="227"/>
      <c r="K2" s="227"/>
      <c r="L2" s="227"/>
      <c r="M2" s="227"/>
      <c r="N2" s="37" t="s">
        <v>2</v>
      </c>
      <c r="O2" s="37" t="s">
        <v>209</v>
      </c>
      <c r="P2" s="227" t="s">
        <v>193</v>
      </c>
      <c r="Q2" s="227"/>
      <c r="R2" s="227"/>
      <c r="S2" s="227"/>
      <c r="T2" s="227"/>
      <c r="U2" s="227"/>
      <c r="V2" s="227"/>
      <c r="W2" s="36" t="s">
        <v>213</v>
      </c>
    </row>
    <row r="3" spans="1:23" s="43" customFormat="1" ht="43.5" customHeight="1" thickBot="1" x14ac:dyDescent="0.5">
      <c r="A3" s="38"/>
      <c r="B3" s="39"/>
      <c r="C3" s="39"/>
      <c r="D3" s="80" t="s">
        <v>210</v>
      </c>
      <c r="E3" s="81" t="s">
        <v>404</v>
      </c>
      <c r="F3" s="40" t="s">
        <v>207</v>
      </c>
      <c r="G3" s="40">
        <v>2013</v>
      </c>
      <c r="H3" s="40">
        <v>2014</v>
      </c>
      <c r="I3" s="40">
        <v>2015</v>
      </c>
      <c r="J3" s="40">
        <v>2016</v>
      </c>
      <c r="K3" s="40">
        <v>2017</v>
      </c>
      <c r="L3" s="40">
        <v>2018</v>
      </c>
      <c r="M3" s="40">
        <v>2019</v>
      </c>
      <c r="N3" s="41">
        <f>SUM(N4:N13)</f>
        <v>3</v>
      </c>
      <c r="O3" s="41">
        <f>SUM(O4:O13)</f>
        <v>0</v>
      </c>
      <c r="P3" s="40">
        <v>2013</v>
      </c>
      <c r="Q3" s="40">
        <v>2014</v>
      </c>
      <c r="R3" s="40">
        <v>2015</v>
      </c>
      <c r="S3" s="40">
        <v>2016</v>
      </c>
      <c r="T3" s="40">
        <v>2017</v>
      </c>
      <c r="U3" s="40">
        <v>2018</v>
      </c>
      <c r="V3" s="40">
        <v>2019</v>
      </c>
      <c r="W3" s="70" t="s">
        <v>214</v>
      </c>
    </row>
    <row r="4" spans="1:23" ht="47.25" customHeight="1" thickTop="1" thickBot="1" x14ac:dyDescent="0.5">
      <c r="A4" s="245" t="s">
        <v>206</v>
      </c>
      <c r="B4" s="245" t="s">
        <v>204</v>
      </c>
      <c r="C4" s="233"/>
      <c r="D4" s="87" t="s">
        <v>412</v>
      </c>
      <c r="E4" s="88" t="s">
        <v>239</v>
      </c>
      <c r="F4" s="8" t="s">
        <v>173</v>
      </c>
      <c r="G4" s="11"/>
      <c r="H4" s="14"/>
      <c r="I4" s="14"/>
      <c r="J4" s="14"/>
      <c r="K4" s="14"/>
      <c r="L4" s="14"/>
      <c r="M4" s="12"/>
      <c r="N4" s="153">
        <f t="shared" ref="N4:N12" si="0">IF(AND(G4=""),0,IF(OR(G4=""),2,3))</f>
        <v>0</v>
      </c>
      <c r="O4" s="154">
        <f t="shared" ref="O4:O12" si="1">IF(AND(M4=""),0,IF(OR(M4=""),1,2))</f>
        <v>0</v>
      </c>
      <c r="P4" s="11"/>
      <c r="Q4" s="14"/>
      <c r="R4" s="14"/>
      <c r="S4" s="14"/>
      <c r="T4" s="14"/>
      <c r="U4" s="14"/>
      <c r="V4" s="14"/>
      <c r="W4" s="23"/>
    </row>
    <row r="5" spans="1:23" ht="47.25" customHeight="1" thickTop="1" thickBot="1" x14ac:dyDescent="0.5">
      <c r="A5" s="236"/>
      <c r="B5" s="236"/>
      <c r="C5" s="234"/>
      <c r="D5" s="89" t="s">
        <v>413</v>
      </c>
      <c r="E5" s="47" t="s">
        <v>239</v>
      </c>
      <c r="F5" s="8" t="s">
        <v>174</v>
      </c>
      <c r="G5" s="104"/>
      <c r="H5" s="105"/>
      <c r="I5" s="105"/>
      <c r="J5" s="105"/>
      <c r="K5" s="105"/>
      <c r="L5" s="105"/>
      <c r="M5" s="106"/>
      <c r="N5" s="153">
        <f t="shared" si="0"/>
        <v>0</v>
      </c>
      <c r="O5" s="154">
        <f t="shared" si="1"/>
        <v>0</v>
      </c>
      <c r="P5" s="100"/>
      <c r="Q5" s="101"/>
      <c r="R5" s="101"/>
      <c r="S5" s="101"/>
      <c r="T5" s="101"/>
      <c r="U5" s="101"/>
      <c r="V5" s="102"/>
      <c r="W5" s="103"/>
    </row>
    <row r="6" spans="1:23" ht="47.25" customHeight="1" thickTop="1" thickBot="1" x14ac:dyDescent="0.5">
      <c r="A6" s="236"/>
      <c r="B6" s="236"/>
      <c r="C6" s="234"/>
      <c r="D6" s="90">
        <v>62</v>
      </c>
      <c r="E6" s="91" t="s">
        <v>239</v>
      </c>
      <c r="F6" s="94" t="s">
        <v>175</v>
      </c>
      <c r="G6" s="108"/>
      <c r="H6" s="109"/>
      <c r="I6" s="105"/>
      <c r="J6" s="105"/>
      <c r="K6" s="105"/>
      <c r="L6" s="105"/>
      <c r="M6" s="106"/>
      <c r="N6" s="153">
        <f t="shared" si="0"/>
        <v>0</v>
      </c>
      <c r="O6" s="154">
        <f t="shared" si="1"/>
        <v>0</v>
      </c>
      <c r="P6" s="157"/>
      <c r="Q6" s="158"/>
      <c r="R6" s="158"/>
      <c r="S6" s="158"/>
      <c r="T6" s="158"/>
      <c r="U6" s="158"/>
      <c r="V6" s="159"/>
      <c r="W6" s="111"/>
    </row>
    <row r="7" spans="1:23" ht="33" customHeight="1" thickTop="1" thickBot="1" x14ac:dyDescent="0.5">
      <c r="A7" s="236"/>
      <c r="B7" s="245" t="s">
        <v>205</v>
      </c>
      <c r="C7" s="238"/>
      <c r="D7" s="92">
        <v>63</v>
      </c>
      <c r="E7" s="92" t="s">
        <v>239</v>
      </c>
      <c r="F7" s="95" t="s">
        <v>176</v>
      </c>
      <c r="G7" s="189"/>
      <c r="H7" s="190"/>
      <c r="I7" s="190"/>
      <c r="J7" s="190"/>
      <c r="K7" s="190"/>
      <c r="L7" s="190"/>
      <c r="M7" s="114"/>
      <c r="N7" s="153">
        <v>3</v>
      </c>
      <c r="O7" s="154">
        <v>0</v>
      </c>
      <c r="P7" s="162"/>
      <c r="Q7" s="163"/>
      <c r="R7" s="163"/>
      <c r="S7" s="163"/>
      <c r="T7" s="163"/>
      <c r="U7" s="163"/>
      <c r="V7" s="164"/>
      <c r="W7" s="115"/>
    </row>
    <row r="8" spans="1:23" ht="33" customHeight="1" thickTop="1" thickBot="1" x14ac:dyDescent="0.5">
      <c r="A8" s="236"/>
      <c r="B8" s="236"/>
      <c r="C8" s="239"/>
      <c r="D8" s="271">
        <v>64</v>
      </c>
      <c r="E8" s="271" t="s">
        <v>239</v>
      </c>
      <c r="F8" s="16" t="s">
        <v>177</v>
      </c>
      <c r="G8" s="188"/>
      <c r="H8" s="185"/>
      <c r="I8" s="185"/>
      <c r="J8" s="185"/>
      <c r="K8" s="185"/>
      <c r="L8" s="105"/>
      <c r="M8" s="106"/>
      <c r="N8" s="153">
        <f t="shared" si="0"/>
        <v>0</v>
      </c>
      <c r="O8" s="154">
        <f t="shared" si="1"/>
        <v>0</v>
      </c>
      <c r="P8" s="100"/>
      <c r="Q8" s="100"/>
      <c r="R8" s="100"/>
      <c r="S8" s="100"/>
      <c r="T8" s="100"/>
      <c r="U8" s="101"/>
      <c r="V8" s="102"/>
      <c r="W8" s="103"/>
    </row>
    <row r="9" spans="1:23" ht="33" customHeight="1" thickTop="1" thickBot="1" x14ac:dyDescent="0.5">
      <c r="A9" s="236"/>
      <c r="B9" s="236"/>
      <c r="C9" s="239"/>
      <c r="D9" s="271"/>
      <c r="E9" s="271"/>
      <c r="F9" s="51" t="s">
        <v>179</v>
      </c>
      <c r="G9" s="104"/>
      <c r="H9" s="105"/>
      <c r="I9" s="105"/>
      <c r="J9" s="105"/>
      <c r="K9" s="105"/>
      <c r="L9" s="105"/>
      <c r="M9" s="106"/>
      <c r="N9" s="153">
        <f t="shared" si="0"/>
        <v>0</v>
      </c>
      <c r="O9" s="154">
        <f t="shared" si="1"/>
        <v>0</v>
      </c>
      <c r="P9" s="100"/>
      <c r="Q9" s="101"/>
      <c r="R9" s="101"/>
      <c r="S9" s="101"/>
      <c r="T9" s="101"/>
      <c r="U9" s="101"/>
      <c r="V9" s="102"/>
      <c r="W9" s="193"/>
    </row>
    <row r="10" spans="1:23" ht="33" customHeight="1" thickTop="1" thickBot="1" x14ac:dyDescent="0.5">
      <c r="A10" s="236"/>
      <c r="B10" s="236"/>
      <c r="C10" s="239"/>
      <c r="D10" s="271">
        <v>65</v>
      </c>
      <c r="E10" s="271" t="s">
        <v>239</v>
      </c>
      <c r="F10" s="16" t="s">
        <v>178</v>
      </c>
      <c r="G10" s="188"/>
      <c r="H10" s="185"/>
      <c r="I10" s="185"/>
      <c r="J10" s="185"/>
      <c r="K10" s="185"/>
      <c r="L10" s="185"/>
      <c r="M10" s="106"/>
      <c r="N10" s="153">
        <f t="shared" si="0"/>
        <v>0</v>
      </c>
      <c r="O10" s="154">
        <f t="shared" si="1"/>
        <v>0</v>
      </c>
      <c r="P10" s="100"/>
      <c r="Q10" s="100"/>
      <c r="R10" s="100"/>
      <c r="S10" s="100"/>
      <c r="T10" s="100"/>
      <c r="U10" s="100"/>
      <c r="V10" s="102"/>
      <c r="W10" s="103"/>
    </row>
    <row r="11" spans="1:23" ht="33" customHeight="1" thickTop="1" thickBot="1" x14ac:dyDescent="0.5">
      <c r="A11" s="236"/>
      <c r="B11" s="236"/>
      <c r="C11" s="239"/>
      <c r="D11" s="271"/>
      <c r="E11" s="271"/>
      <c r="F11" s="85" t="s">
        <v>180</v>
      </c>
      <c r="G11" s="104"/>
      <c r="H11" s="105"/>
      <c r="I11" s="105"/>
      <c r="J11" s="105"/>
      <c r="K11" s="105"/>
      <c r="L11" s="105"/>
      <c r="M11" s="106"/>
      <c r="N11" s="153">
        <f t="shared" si="0"/>
        <v>0</v>
      </c>
      <c r="O11" s="154">
        <f t="shared" si="1"/>
        <v>0</v>
      </c>
      <c r="P11" s="100"/>
      <c r="Q11" s="100"/>
      <c r="R11" s="100"/>
      <c r="S11" s="100"/>
      <c r="T11" s="100"/>
      <c r="U11" s="100"/>
      <c r="V11" s="102"/>
      <c r="W11" s="103"/>
    </row>
    <row r="12" spans="1:23" ht="33" customHeight="1" thickTop="1" thickBot="1" x14ac:dyDescent="0.5">
      <c r="A12" s="236"/>
      <c r="B12" s="236"/>
      <c r="C12" s="239"/>
      <c r="D12" s="271"/>
      <c r="E12" s="271"/>
      <c r="F12" s="86" t="s">
        <v>181</v>
      </c>
      <c r="G12" s="104"/>
      <c r="H12" s="105"/>
      <c r="I12" s="105"/>
      <c r="J12" s="105"/>
      <c r="K12" s="105"/>
      <c r="L12" s="105"/>
      <c r="M12" s="106"/>
      <c r="N12" s="153">
        <f t="shared" si="0"/>
        <v>0</v>
      </c>
      <c r="O12" s="154">
        <f t="shared" si="1"/>
        <v>0</v>
      </c>
      <c r="P12" s="100"/>
      <c r="Q12" s="100"/>
      <c r="R12" s="100"/>
      <c r="S12" s="100"/>
      <c r="T12" s="100"/>
      <c r="U12" s="100"/>
      <c r="V12" s="102"/>
      <c r="W12" s="193"/>
    </row>
    <row r="13" spans="1:23" ht="39.75" customHeight="1" thickTop="1" thickBot="1" x14ac:dyDescent="0.5">
      <c r="A13" s="237"/>
      <c r="B13" s="237"/>
      <c r="C13" s="268"/>
      <c r="D13" s="93">
        <v>66</v>
      </c>
      <c r="E13" s="93" t="s">
        <v>239</v>
      </c>
      <c r="F13" s="10" t="s">
        <v>182</v>
      </c>
      <c r="G13" s="194"/>
      <c r="H13" s="195"/>
      <c r="I13" s="195"/>
      <c r="J13" s="195"/>
      <c r="K13" s="195"/>
      <c r="L13" s="195"/>
      <c r="M13" s="127"/>
      <c r="N13" s="160"/>
      <c r="O13" s="161"/>
      <c r="P13" s="100"/>
      <c r="Q13" s="100"/>
      <c r="R13" s="100"/>
      <c r="S13" s="100"/>
      <c r="T13" s="100"/>
      <c r="U13" s="100"/>
      <c r="V13" s="130"/>
      <c r="W13" s="196"/>
    </row>
  </sheetData>
  <mergeCells count="12">
    <mergeCell ref="P2:V2"/>
    <mergeCell ref="B7:B13"/>
    <mergeCell ref="C7:C13"/>
    <mergeCell ref="B2:C2"/>
    <mergeCell ref="A4:A13"/>
    <mergeCell ref="B4:B6"/>
    <mergeCell ref="C4:C6"/>
    <mergeCell ref="G2:M2"/>
    <mergeCell ref="D8:D9"/>
    <mergeCell ref="E8:E9"/>
    <mergeCell ref="D10:D12"/>
    <mergeCell ref="E10:E12"/>
  </mergeCells>
  <conditionalFormatting sqref="N3:O3">
    <cfRule type="iconSet" priority="2">
      <iconSet iconSet="5Quarters" showValue="0">
        <cfvo type="percent" val="0"/>
        <cfvo type="num" val="25"/>
        <cfvo type="num" val="50"/>
        <cfvo type="num" val="75"/>
        <cfvo type="num" val="98"/>
      </iconSet>
    </cfRule>
  </conditionalFormatting>
  <conditionalFormatting sqref="N4:O13">
    <cfRule type="iconSet" priority="1">
      <iconSet iconSet="3Symbols" showValue="0">
        <cfvo type="percent" val="0"/>
        <cfvo type="num" val="1"/>
        <cfvo type="num" val="2"/>
      </iconSet>
    </cfRule>
  </conditionalFormatting>
  <hyperlinks>
    <hyperlink ref="A1" location="'Agenda 2063'!A1" display="Back to Agenda 2063" xr:uid="{00000000-0004-0000-0700-000000000000}"/>
  </hyperlinks>
  <pageMargins left="0.7" right="0.7" top="0.75" bottom="0.75" header="0.3" footer="0.3"/>
  <pageSetup paperSize="9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8</vt:i4>
      </vt:variant>
    </vt:vector>
  </HeadingPairs>
  <TitlesOfParts>
    <vt:vector size="8" baseType="lpstr">
      <vt:lpstr>Agenda 2063</vt:lpstr>
      <vt:lpstr>Aspiration 1</vt:lpstr>
      <vt:lpstr>Aspiration 2</vt:lpstr>
      <vt:lpstr>Aspiration 3</vt:lpstr>
      <vt:lpstr>Aspiration 4</vt:lpstr>
      <vt:lpstr>Aspiration 5</vt:lpstr>
      <vt:lpstr>Aspiration 6</vt:lpstr>
      <vt:lpstr>Aspiration 7</vt:lpstr>
    </vt:vector>
  </TitlesOfParts>
  <Company>AfDB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HMAIDI, HELMI</dc:creator>
  <cp:lastModifiedBy>Lamine SIDIBE</cp:lastModifiedBy>
  <dcterms:created xsi:type="dcterms:W3CDTF">2019-03-21T10:29:35Z</dcterms:created>
  <dcterms:modified xsi:type="dcterms:W3CDTF">2026-08-03T13:33:50Z</dcterms:modified>
</cp:coreProperties>
</file>